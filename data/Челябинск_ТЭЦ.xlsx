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isa/Documents/линк/data/"/>
    </mc:Choice>
  </mc:AlternateContent>
  <xr:revisionPtr revIDLastSave="0" documentId="13_ncr:1_{F51651B1-5311-B147-AF63-719500B335BD}" xr6:coauthVersionLast="47" xr6:coauthVersionMax="47" xr10:uidLastSave="{00000000-0000-0000-0000-000000000000}"/>
  <bookViews>
    <workbookView xWindow="3400" yWindow="3060" windowWidth="19200" windowHeight="10240" activeTab="1" xr2:uid="{0235F75B-AC8A-4D00-8701-6D090B69C299}"/>
  </bookViews>
  <sheets>
    <sheet name="ННЗТ" sheetId="2" r:id="rId1"/>
    <sheet name="НЭЗТ" sheetId="1" r:id="rId2"/>
    <sheet name="НАЗТ" sheetId="3" r:id="rId3"/>
    <sheet name="ОНЗТ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4" l="1"/>
  <c r="F5" i="4"/>
  <c r="F6" i="4"/>
  <c r="F7" i="4"/>
  <c r="F8" i="4"/>
  <c r="F9" i="4"/>
  <c r="F10" i="4"/>
  <c r="F11" i="4"/>
  <c r="F12" i="4"/>
  <c r="F13" i="4"/>
  <c r="F14" i="4"/>
  <c r="F3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E1" authorId="0" shapeId="0" xr:uid="{A1C4EE26-70ED-4C20-827F-4DB7D3971394}">
      <text>
        <r>
          <rPr>
            <sz val="9"/>
            <color indexed="81"/>
            <rFont val="Tahoma"/>
            <family val="2"/>
            <charset val="204"/>
          </rPr>
          <t>Определяется в соответствии с проектной документацией на оборудование ПГУ, ГТУ</t>
        </r>
      </text>
    </comment>
    <comment ref="F1" authorId="0" shapeId="0" xr:uid="{9E853896-2E96-4D3C-9633-9C8B74F658A7}">
      <text>
        <r>
          <rPr>
            <sz val="9"/>
            <color indexed="81"/>
            <rFont val="Tahoma"/>
            <family val="2"/>
            <charset val="204"/>
          </rPr>
          <t>Определяется в соответствии с проектной документацией на оборудование ПГУ, ГТУ. При отсутствии информации в проектной документации принимается от 3 до 5</t>
        </r>
      </text>
    </comment>
  </commentList>
</comments>
</file>

<file path=xl/sharedStrings.xml><?xml version="1.0" encoding="utf-8"?>
<sst xmlns="http://schemas.openxmlformats.org/spreadsheetml/2006/main" count="131" uniqueCount="56">
  <si>
    <t>№ п/п</t>
  </si>
  <si>
    <t>Наименование ТЭС</t>
  </si>
  <si>
    <t>Вид топлива для создания запаса</t>
  </si>
  <si>
    <t>Способ доставки основного топлива на ТЭС</t>
  </si>
  <si>
    <t>Месяц</t>
  </si>
  <si>
    <t>Месяц в котором поставка топлива ограничена</t>
  </si>
  <si>
    <t>Теплота сгорания натурального топлива по среднему значению сожженного топлива за 3 года или по данным последних замеров в случае отсутствия сжигания топлива в последние годы, ккал/кг</t>
  </si>
  <si>
    <t>Удельный расход условного топлива на отпуск электрической энергии при работе с установленной мощностью ТЭС на плановый год за вычетом постоянных ограничений в схеме выдачи мощности и ограничений мощности ТЭС по причине вывода оборудования в ремонт в соответствии с утвержденными графиками ремонтов энергетического и электротехнического оборудования, гут/кВт*ч</t>
  </si>
  <si>
    <t>Установленная электрическая мощность ТЭС (очереди оборудования ТЭС) на плановый год за вычетом постоянных ограничений в схеме выдачи мощности и ограничений мощности ТЭС по причине вывода оборудования в ремонт в соответствии с утвержденными графиками ремонтов энергетического и электротехнического оборудования, МВт</t>
  </si>
  <si>
    <t>Расход электрической энергии на собственные нужды тепловой электростанции за сутки, при условии функционирования с установленной плановой мощностью за вычетом постоянных ограничений в схеме выдачи мощности и ограничений мощности ТЭС по причине вывода оборудования в ремонт в соответствии с утвержденными графиками ремонтов энергетического и электротехнического оборудования, млн.кВт*ч</t>
  </si>
  <si>
    <t>Количество условного топлива, необходимого для функционирования ТЭС с максимальной выработкой электрической энергии в течении одних суток, т.у.т.</t>
  </si>
  <si>
    <t>Удельный расход условного топлива на отпуск тепловой энергии при работе по максимальному среднесуточному отпуску тепловой энергии в расчетном месяце за последние 5 лет, кг/Гкал</t>
  </si>
  <si>
    <t>Максимальный среднесуточный отпуск тепловой энергии за предыдущие пять лет, тыс. Гкал.</t>
  </si>
  <si>
    <t>Количество условного топлива, необходимого для функционирования ТЭС с максимальным отпуском тепловой энергии в расчетном месяце за предыдущие 5 лет, т.у.т.</t>
  </si>
  <si>
    <t>Количество условного топлива, необходимого для функционирования ТЭС в расчетном месяце в течении одних суток с максимальным суточным отпуском тепловой энергии за последние 5 лет и максимальной выработкой электрической энергии, т.у.т.</t>
  </si>
  <si>
    <t>Количество суток, в течение которых обеспечивается работа ТЭС в режиме "выживания", сутки</t>
  </si>
  <si>
    <t>Базовая величина НЭЗТ, т.н.т.</t>
  </si>
  <si>
    <t>Коэффициент риска ТЭС</t>
  </si>
  <si>
    <t>Коэффициент, учитывающий категорию риска при возможном ограничении газоснабжения</t>
  </si>
  <si>
    <r>
      <t>Теплота сгорания газа, ккал/м</t>
    </r>
    <r>
      <rPr>
        <sz val="9"/>
        <rFont val="Calibri"/>
        <family val="2"/>
        <charset val="204"/>
      </rPr>
      <t>ᶟ</t>
    </r>
  </si>
  <si>
    <t>Теплота сгорания резервного топлива, ккал/кг</t>
  </si>
  <si>
    <t>Максимальный месячный объем ограничения газа в периоды снижения температуры за последние 8 лет, м3</t>
  </si>
  <si>
    <t>НЭЗТ, т.н.т.</t>
  </si>
  <si>
    <t>Количество суток, при которых поставка топлива ограничена</t>
  </si>
  <si>
    <t>Количество суток в расчетном месяце</t>
  </si>
  <si>
    <t>Фактический среднемесячный расход топлива в расчетный месяц за предыдущие 3 года, т.н.т.</t>
  </si>
  <si>
    <t>Плановый полезный отпуск тепловой энергии, в соответствии со сводным прогнозным балансом, Гкал</t>
  </si>
  <si>
    <t>Плановая месячная выработка электрической энергии, в соответствии со сводным прогнозным балансом, млн кВт*ч</t>
  </si>
  <si>
    <t>Расход электроэнергии на собственные нужды ТЭС, млн.кВт*ч</t>
  </si>
  <si>
    <t>Среднесуточный расход топлива в месяце с ограничением поставок топлива</t>
  </si>
  <si>
    <t>НЭЗТ огр.пост, т.н.т.</t>
  </si>
  <si>
    <t>Уголь</t>
  </si>
  <si>
    <t>Транспортная доставка</t>
  </si>
  <si>
    <t>нет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</si>
  <si>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</si>
  <si>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</si>
  <si>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</si>
  <si>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</si>
  <si>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</si>
  <si>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</si>
  <si>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</si>
  <si>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</si>
  <si>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</si>
  <si>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</si>
  <si>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</si>
  <si>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</si>
  <si>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ННЗТ, тнт</t>
  </si>
  <si>
    <t>Челябинская ТЭЦ-1</t>
  </si>
  <si>
    <t>Природный газ</t>
  </si>
  <si>
    <t>Максимальный суточный расход аварийного топлива для ПГУ/ГТУ, т.н.т/суток</t>
  </si>
  <si>
    <t>Максимальная продолжительность эксплуатации оборудования на аварийном топливе, суток</t>
  </si>
  <si>
    <t>НАЗТ б.в</t>
  </si>
  <si>
    <t>НАЗТ, т.н.т</t>
  </si>
  <si>
    <t>Мазут</t>
  </si>
  <si>
    <t>ННЗТ, т.н.т.</t>
  </si>
  <si>
    <t>ОНЗТ, т.н.т.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</si>
</sst>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9"/>
      <color indexed="81"/>
      <name val="Tahoma"/>
      <family val="2"/>
      <charset val="204"/>
    </font>
    <font>
      <sz val="9"/>
      <color theme="1"/>
      <name val="Tahoma"/>
      <family val="2"/>
      <charset val="204"/>
    </font>
    <font>
      <sz val="9"/>
      <name val="Tahoma"/>
      <family val="2"/>
      <charset val="204"/>
    </font>
    <font>
      <b/>
      <sz val="9"/>
      <name val="Tahoma"/>
      <family val="2"/>
      <charset val="204"/>
    </font>
    <font>
      <b/>
      <sz val="9"/>
      <color theme="1"/>
      <name val="Tahoma"/>
      <family val="2"/>
      <charset val="204"/>
    </font>
    <font>
      <sz val="9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/>
      <top style="thin">
        <color indexed="22"/>
      </top>
      <bottom/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/>
      <bottom/>
      <diagonal/>
    </border>
    <border>
      <left style="thin">
        <color indexed="22"/>
      </left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indexed="22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 style="thin">
        <color indexed="22"/>
      </top>
      <bottom/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 style="thin">
        <color indexed="22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indexed="22"/>
      </left>
      <right style="thin">
        <color theme="0" tint="-0.249977111117893"/>
      </right>
      <top style="thin">
        <color indexed="22"/>
      </top>
      <bottom/>
      <diagonal/>
    </border>
    <border>
      <left style="thin">
        <color indexed="22"/>
      </left>
      <right style="thin">
        <color theme="0" tint="-0.249977111117893"/>
      </right>
      <top/>
      <bottom/>
      <diagonal/>
    </border>
    <border>
      <left style="thin">
        <color indexed="22"/>
      </left>
      <right style="thin">
        <color theme="0" tint="-0.249977111117893"/>
      </right>
      <top/>
      <bottom style="thin">
        <color theme="0" tint="-0.249977111117893"/>
      </bottom>
      <diagonal/>
    </border>
  </borders>
  <cellStyleXfs count="4">
    <xf numFmtId="0" fontId="0" fillId="0" borderId="0"/>
    <xf numFmtId="0" fontId="1" fillId="0" borderId="0"/>
    <xf numFmtId="49" fontId="4" fillId="0" borderId="0" applyBorder="0">
      <alignment vertical="top"/>
    </xf>
    <xf numFmtId="9" fontId="1" fillId="0" borderId="0" applyFont="0" applyFill="0" applyBorder="0" applyAlignment="0" applyProtection="0"/>
  </cellStyleXfs>
  <cellXfs count="84">
    <xf numFmtId="0" fontId="0" fillId="0" borderId="0" xfId="0"/>
    <xf numFmtId="4" fontId="3" fillId="3" borderId="1" xfId="1" applyNumberFormat="1" applyFont="1" applyFill="1" applyBorder="1" applyAlignment="1" applyProtection="1">
      <alignment horizontal="center" vertical="center" wrapText="1"/>
      <protection locked="0"/>
    </xf>
    <xf numFmtId="4" fontId="5" fillId="2" borderId="3" xfId="2" applyNumberFormat="1" applyFont="1" applyFill="1" applyBorder="1" applyAlignment="1">
      <alignment horizontal="center" vertical="center"/>
    </xf>
    <xf numFmtId="4" fontId="4" fillId="2" borderId="11" xfId="1" applyNumberFormat="1" applyFont="1" applyFill="1" applyBorder="1" applyAlignment="1">
      <alignment horizontal="center" vertical="center"/>
    </xf>
    <xf numFmtId="4" fontId="4" fillId="2" borderId="8" xfId="1" applyNumberFormat="1" applyFont="1" applyFill="1" applyBorder="1" applyAlignment="1">
      <alignment horizontal="center" vertical="center" wrapText="1"/>
    </xf>
    <xf numFmtId="4" fontId="5" fillId="2" borderId="8" xfId="1" applyNumberFormat="1" applyFont="1" applyFill="1" applyBorder="1" applyAlignment="1">
      <alignment horizontal="center" vertical="center" wrapText="1"/>
    </xf>
    <xf numFmtId="3" fontId="3" fillId="3" borderId="1" xfId="1" applyNumberFormat="1" applyFont="1" applyFill="1" applyBorder="1" applyAlignment="1" applyProtection="1">
      <alignment horizontal="center" vertical="center" wrapText="1"/>
      <protection locked="0"/>
    </xf>
    <xf numFmtId="3" fontId="4" fillId="2" borderId="8" xfId="1" applyNumberFormat="1" applyFont="1" applyFill="1" applyBorder="1" applyAlignment="1">
      <alignment horizontal="center" vertical="center" wrapText="1"/>
    </xf>
    <xf numFmtId="4" fontId="3" fillId="3" borderId="1" xfId="0" applyNumberFormat="1" applyFont="1" applyFill="1" applyBorder="1" applyAlignment="1" applyProtection="1">
      <alignment horizontal="center" vertical="center" wrapText="1"/>
      <protection locked="0"/>
    </xf>
    <xf numFmtId="3" fontId="6" fillId="3" borderId="1" xfId="0" applyNumberFormat="1" applyFont="1" applyFill="1" applyBorder="1" applyAlignment="1" applyProtection="1">
      <alignment horizontal="center" vertical="center" wrapText="1"/>
      <protection locked="0"/>
    </xf>
    <xf numFmtId="4" fontId="4" fillId="2" borderId="3" xfId="2" applyNumberFormat="1" applyFill="1" applyBorder="1" applyAlignment="1">
      <alignment vertical="center"/>
    </xf>
    <xf numFmtId="4" fontId="4" fillId="4" borderId="8" xfId="1" applyNumberFormat="1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3" fontId="4" fillId="2" borderId="19" xfId="0" applyNumberFormat="1" applyFont="1" applyFill="1" applyBorder="1" applyAlignment="1">
      <alignment horizontal="center" vertical="center"/>
    </xf>
    <xf numFmtId="3" fontId="4" fillId="2" borderId="15" xfId="0" applyNumberFormat="1" applyFont="1" applyFill="1" applyBorder="1" applyAlignment="1">
      <alignment horizontal="center" vertical="center"/>
    </xf>
    <xf numFmtId="3" fontId="4" fillId="2" borderId="20" xfId="0" applyNumberFormat="1" applyFont="1" applyFill="1" applyBorder="1" applyAlignment="1">
      <alignment horizontal="center" vertical="center"/>
    </xf>
    <xf numFmtId="4" fontId="4" fillId="2" borderId="21" xfId="0" applyNumberFormat="1" applyFont="1" applyFill="1" applyBorder="1" applyAlignment="1">
      <alignment horizontal="center" vertical="center"/>
    </xf>
    <xf numFmtId="4" fontId="4" fillId="2" borderId="13" xfId="0" applyNumberFormat="1" applyFont="1" applyFill="1" applyBorder="1" applyAlignment="1">
      <alignment horizontal="center" vertical="center"/>
    </xf>
    <xf numFmtId="4" fontId="4" fillId="2" borderId="22" xfId="0" applyNumberFormat="1" applyFont="1" applyFill="1" applyBorder="1" applyAlignment="1">
      <alignment horizontal="center" vertical="center"/>
    </xf>
    <xf numFmtId="4" fontId="4" fillId="2" borderId="14" xfId="0" applyNumberFormat="1" applyFont="1" applyFill="1" applyBorder="1" applyAlignment="1">
      <alignment horizontal="center" vertical="center"/>
    </xf>
    <xf numFmtId="4" fontId="4" fillId="2" borderId="15" xfId="0" applyNumberFormat="1" applyFont="1" applyFill="1" applyBorder="1" applyAlignment="1">
      <alignment horizontal="center" vertical="center"/>
    </xf>
    <xf numFmtId="4" fontId="4" fillId="2" borderId="20" xfId="0" applyNumberFormat="1" applyFont="1" applyFill="1" applyBorder="1" applyAlignment="1">
      <alignment horizontal="center" vertical="center"/>
    </xf>
    <xf numFmtId="4" fontId="4" fillId="3" borderId="14" xfId="2" applyNumberFormat="1" applyFill="1" applyBorder="1" applyAlignment="1" applyProtection="1">
      <alignment horizontal="center" vertical="center" wrapText="1"/>
      <protection locked="0"/>
    </xf>
    <xf numFmtId="4" fontId="4" fillId="3" borderId="15" xfId="2" applyNumberFormat="1" applyFill="1" applyBorder="1" applyAlignment="1" applyProtection="1">
      <alignment horizontal="center" vertical="center" wrapText="1"/>
      <protection locked="0"/>
    </xf>
    <xf numFmtId="4" fontId="4" fillId="3" borderId="20" xfId="2" applyNumberFormat="1" applyFill="1" applyBorder="1" applyAlignment="1" applyProtection="1">
      <alignment horizontal="center" vertical="center" wrapText="1"/>
      <protection locked="0"/>
    </xf>
    <xf numFmtId="4" fontId="4" fillId="2" borderId="19" xfId="0" applyNumberFormat="1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3" fillId="4" borderId="19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4" fontId="4" fillId="2" borderId="18" xfId="0" applyNumberFormat="1" applyFont="1" applyFill="1" applyBorder="1" applyAlignment="1">
      <alignment horizontal="center" vertical="center"/>
    </xf>
    <xf numFmtId="3" fontId="4" fillId="2" borderId="14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3" fontId="4" fillId="2" borderId="14" xfId="1" applyNumberFormat="1" applyFont="1" applyFill="1" applyBorder="1" applyAlignment="1">
      <alignment horizontal="center" vertical="center"/>
    </xf>
    <xf numFmtId="3" fontId="4" fillId="2" borderId="15" xfId="1" applyNumberFormat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 wrapText="1"/>
    </xf>
    <xf numFmtId="3" fontId="4" fillId="3" borderId="3" xfId="2" applyNumberFormat="1" applyFill="1" applyBorder="1" applyAlignment="1" applyProtection="1">
      <alignment horizontal="center" vertical="center" wrapText="1"/>
      <protection locked="0"/>
    </xf>
    <xf numFmtId="3" fontId="4" fillId="3" borderId="12" xfId="2" applyNumberFormat="1" applyFill="1" applyBorder="1" applyAlignment="1" applyProtection="1">
      <alignment horizontal="center" vertical="center" wrapText="1"/>
      <protection locked="0"/>
    </xf>
    <xf numFmtId="0" fontId="3" fillId="0" borderId="3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4" fontId="4" fillId="3" borderId="23" xfId="2" applyNumberFormat="1" applyFill="1" applyBorder="1" applyAlignment="1" applyProtection="1">
      <alignment horizontal="center" vertical="center" wrapText="1"/>
      <protection locked="0"/>
    </xf>
    <xf numFmtId="4" fontId="4" fillId="3" borderId="24" xfId="2" applyNumberFormat="1" applyFill="1" applyBorder="1" applyAlignment="1" applyProtection="1">
      <alignment horizontal="center" vertical="center" wrapText="1"/>
      <protection locked="0"/>
    </xf>
    <xf numFmtId="4" fontId="4" fillId="3" borderId="25" xfId="2" applyNumberFormat="1" applyFill="1" applyBorder="1" applyAlignment="1" applyProtection="1">
      <alignment horizontal="center" vertical="center" wrapText="1"/>
      <protection locked="0"/>
    </xf>
    <xf numFmtId="4" fontId="4" fillId="2" borderId="16" xfId="1" applyNumberFormat="1" applyFont="1" applyFill="1" applyBorder="1" applyAlignment="1">
      <alignment horizontal="center" vertical="center"/>
    </xf>
    <xf numFmtId="4" fontId="4" fillId="2" borderId="17" xfId="1" applyNumberFormat="1" applyFont="1" applyFill="1" applyBorder="1" applyAlignment="1">
      <alignment horizontal="center" vertical="center"/>
    </xf>
    <xf numFmtId="4" fontId="4" fillId="2" borderId="14" xfId="1" applyNumberFormat="1" applyFont="1" applyFill="1" applyBorder="1" applyAlignment="1">
      <alignment horizontal="center" vertical="center"/>
    </xf>
    <xf numFmtId="4" fontId="4" fillId="2" borderId="15" xfId="1" applyNumberFormat="1" applyFont="1" applyFill="1" applyBorder="1" applyAlignment="1">
      <alignment horizontal="center" vertical="center"/>
    </xf>
    <xf numFmtId="0" fontId="4" fillId="6" borderId="3" xfId="1" applyFont="1" applyFill="1" applyBorder="1" applyAlignment="1">
      <alignment horizontal="center" vertical="center" wrapText="1"/>
    </xf>
    <xf numFmtId="0" fontId="4" fillId="6" borderId="5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6" fillId="0" borderId="4" xfId="1" applyFont="1" applyBorder="1" applyAlignment="1">
      <alignment horizontal="center" vertical="center" wrapText="1"/>
    </xf>
    <xf numFmtId="0" fontId="4" fillId="4" borderId="3" xfId="1" applyFont="1" applyFill="1" applyBorder="1" applyAlignment="1">
      <alignment horizontal="center" vertical="center" wrapText="1"/>
    </xf>
    <xf numFmtId="0" fontId="4" fillId="4" borderId="5" xfId="1" applyFont="1" applyFill="1" applyBorder="1" applyAlignment="1">
      <alignment horizontal="center" vertical="center" wrapText="1"/>
    </xf>
    <xf numFmtId="0" fontId="4" fillId="0" borderId="3" xfId="2" applyNumberFormat="1" applyBorder="1" applyAlignment="1">
      <alignment horizontal="center" vertical="center" wrapText="1"/>
    </xf>
    <xf numFmtId="0" fontId="4" fillId="0" borderId="5" xfId="2" applyNumberFormat="1" applyBorder="1" applyAlignment="1">
      <alignment horizontal="center" vertical="center" wrapText="1"/>
    </xf>
    <xf numFmtId="0" fontId="6" fillId="5" borderId="1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4" fillId="4" borderId="1" xfId="1" applyFont="1" applyFill="1" applyBorder="1" applyAlignment="1">
      <alignment horizontal="center" vertical="center" wrapText="1"/>
    </xf>
    <xf numFmtId="3" fontId="4" fillId="2" borderId="3" xfId="1" applyNumberFormat="1" applyFont="1" applyFill="1" applyBorder="1" applyAlignment="1">
      <alignment horizontal="center" vertical="center" wrapText="1"/>
    </xf>
    <xf numFmtId="3" fontId="4" fillId="2" borderId="12" xfId="1" applyNumberFormat="1" applyFont="1" applyFill="1" applyBorder="1" applyAlignment="1">
      <alignment horizontal="center" vertical="center" wrapText="1"/>
    </xf>
    <xf numFmtId="3" fontId="4" fillId="2" borderId="5" xfId="1" applyNumberFormat="1" applyFont="1" applyFill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 wrapText="1"/>
    </xf>
    <xf numFmtId="0" fontId="4" fillId="6" borderId="1" xfId="1" applyFont="1" applyFill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3" fillId="4" borderId="3" xfId="1" applyFont="1" applyFill="1" applyBorder="1" applyAlignment="1">
      <alignment horizontal="center" vertical="center" wrapText="1"/>
    </xf>
    <xf numFmtId="0" fontId="3" fillId="4" borderId="5" xfId="1" applyFont="1" applyFill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3" fontId="4" fillId="2" borderId="3" xfId="1" applyNumberFormat="1" applyFont="1" applyFill="1" applyBorder="1" applyAlignment="1">
      <alignment horizontal="center" vertical="center"/>
    </xf>
    <xf numFmtId="3" fontId="4" fillId="2" borderId="12" xfId="1" applyNumberFormat="1" applyFont="1" applyFill="1" applyBorder="1" applyAlignment="1">
      <alignment horizontal="center" vertical="center"/>
    </xf>
    <xf numFmtId="3" fontId="4" fillId="2" borderId="5" xfId="1" applyNumberFormat="1" applyFont="1" applyFill="1" applyBorder="1" applyAlignment="1">
      <alignment horizontal="center" vertical="center"/>
    </xf>
    <xf numFmtId="4" fontId="4" fillId="2" borderId="3" xfId="1" applyNumberFormat="1" applyFont="1" applyFill="1" applyBorder="1" applyAlignment="1">
      <alignment horizontal="center" vertical="center"/>
    </xf>
    <xf numFmtId="4" fontId="4" fillId="2" borderId="12" xfId="1" applyNumberFormat="1" applyFont="1" applyFill="1" applyBorder="1" applyAlignment="1">
      <alignment horizontal="center" vertical="center"/>
    </xf>
    <xf numFmtId="4" fontId="4" fillId="2" borderId="5" xfId="1" applyNumberFormat="1" applyFont="1" applyFill="1" applyBorder="1" applyAlignment="1">
      <alignment horizontal="center" vertical="center"/>
    </xf>
  </cellXfs>
  <cellStyles count="4">
    <cellStyle name="Обычный" xfId="0" builtinId="0"/>
    <cellStyle name="Обычный 2" xfId="2" xr:uid="{00000000-0005-0000-0000-000002000000}"/>
    <cellStyle name="Обычный 3" xfId="1" xr:uid="{00000000-0005-0000-0000-000030000000}"/>
    <cellStyle name="Процентный 2" xfId="3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282F8-8996-4D35-843C-6F534F30B850}">
  <dimension ref="A1:E14"/>
  <sheetViews>
    <sheetView workbookViewId="0">
      <selection activeCell="E8" sqref="E8"/>
    </sheetView>
  </sheetViews>
  <sheetFormatPr baseColWidth="10" defaultColWidth="8.83203125" defaultRowHeight="15" x14ac:dyDescent="0.2"/>
  <cols>
    <col min="2" max="3" width="15.6640625" customWidth="1"/>
  </cols>
  <sheetData>
    <row r="1" spans="1:5" x14ac:dyDescent="0.2">
      <c r="A1" s="39" t="s">
        <v>0</v>
      </c>
      <c r="B1" s="39" t="s">
        <v>1</v>
      </c>
      <c r="C1" s="39" t="s">
        <v>2</v>
      </c>
      <c r="D1" s="33" t="s">
        <v>4</v>
      </c>
      <c r="E1" s="35" t="s">
        <v>46</v>
      </c>
    </row>
    <row r="2" spans="1:5" x14ac:dyDescent="0.2">
      <c r="A2" s="39"/>
      <c r="B2" s="39"/>
      <c r="C2" s="39"/>
      <c r="D2" s="40"/>
      <c r="E2" s="36"/>
    </row>
    <row r="3" spans="1:5" x14ac:dyDescent="0.2">
      <c r="A3" s="38">
        <v>1</v>
      </c>
      <c r="B3" s="22" t="s">
        <v>47</v>
      </c>
      <c r="C3" s="37" t="s">
        <v>48</v>
      </c>
      <c r="D3" s="3" t="s">
        <v>34</v>
      </c>
      <c r="E3" s="9">
        <v>46674.103769945301</v>
      </c>
    </row>
    <row r="4" spans="1:5" x14ac:dyDescent="0.2">
      <c r="A4" s="17"/>
      <c r="B4" s="23"/>
      <c r="C4" s="20"/>
      <c r="D4" s="3" t="s">
        <v>35</v>
      </c>
      <c r="E4" s="9">
        <v>46454.695330984752</v>
      </c>
    </row>
    <row r="5" spans="1:5" x14ac:dyDescent="0.2">
      <c r="A5" s="17"/>
      <c r="B5" s="23"/>
      <c r="C5" s="20"/>
      <c r="D5" s="3" t="s">
        <v>36</v>
      </c>
      <c r="E5" s="9">
        <v>45920.190962701017</v>
      </c>
    </row>
    <row r="6" spans="1:5" x14ac:dyDescent="0.2">
      <c r="A6" s="17"/>
      <c r="B6" s="23"/>
      <c r="C6" s="20"/>
      <c r="D6" s="3" t="s">
        <v>37</v>
      </c>
      <c r="E6" s="9">
        <v>39902.226056</v>
      </c>
    </row>
    <row r="7" spans="1:5" x14ac:dyDescent="0.2">
      <c r="A7" s="17"/>
      <c r="B7" s="23"/>
      <c r="C7" s="20"/>
      <c r="D7" s="3" t="s">
        <v>38</v>
      </c>
      <c r="E7" s="9">
        <v>39444.904647914424</v>
      </c>
    </row>
    <row r="8" spans="1:5" x14ac:dyDescent="0.2">
      <c r="A8" s="17"/>
      <c r="B8" s="23"/>
      <c r="C8" s="20"/>
      <c r="D8" s="3" t="s">
        <v>39</v>
      </c>
      <c r="E8" s="9">
        <v>36576.710000372084</v>
      </c>
    </row>
    <row r="9" spans="1:5" x14ac:dyDescent="0.2">
      <c r="A9" s="17"/>
      <c r="B9" s="23"/>
      <c r="C9" s="20"/>
      <c r="D9" s="3" t="s">
        <v>40</v>
      </c>
      <c r="E9" s="9">
        <v>33307.986657073117</v>
      </c>
    </row>
    <row r="10" spans="1:5" x14ac:dyDescent="0.2">
      <c r="A10" s="17"/>
      <c r="B10" s="23"/>
      <c r="C10" s="20"/>
      <c r="D10" s="3" t="s">
        <v>41</v>
      </c>
      <c r="E10" s="9">
        <v>18725.236539027719</v>
      </c>
    </row>
    <row r="11" spans="1:5" x14ac:dyDescent="0.2">
      <c r="A11" s="17"/>
      <c r="B11" s="23"/>
      <c r="C11" s="20"/>
      <c r="D11" s="3" t="s">
        <v>42</v>
      </c>
      <c r="E11" s="9">
        <v>29594.216612992743</v>
      </c>
    </row>
    <row r="12" spans="1:5" x14ac:dyDescent="0.2">
      <c r="A12" s="17"/>
      <c r="B12" s="23"/>
      <c r="C12" s="20"/>
      <c r="D12" s="3" t="s">
        <v>43</v>
      </c>
      <c r="E12" s="9">
        <v>38626.409729214516</v>
      </c>
    </row>
    <row r="13" spans="1:5" x14ac:dyDescent="0.2">
      <c r="A13" s="17"/>
      <c r="B13" s="23"/>
      <c r="C13" s="20"/>
      <c r="D13" s="3" t="s">
        <v>44</v>
      </c>
      <c r="E13" s="9">
        <v>43589.103209302339</v>
      </c>
    </row>
    <row r="14" spans="1:5" x14ac:dyDescent="0.2">
      <c r="A14" s="17"/>
      <c r="B14" s="23"/>
      <c r="C14" s="20"/>
      <c r="D14" s="3" t="s">
        <v>45</v>
      </c>
      <c r="E14" s="9">
        <v>46879.148262200928</v>
      </c>
    </row>
  </sheetData>
  <mergeCells count="8">
    <mergeCell ref="B3:B14"/>
    <mergeCell ref="E1:E2"/>
    <mergeCell ref="C3:C14"/>
    <mergeCell ref="A3:A14"/>
    <mergeCell ref="A1:A2"/>
    <mergeCell ref="B1:B2"/>
    <mergeCell ref="C1:C2"/>
    <mergeCell ref="D1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291B2-7CF0-4A97-A365-D8B57F134FC8}">
  <dimension ref="A1:AE14"/>
  <sheetViews>
    <sheetView tabSelected="1" workbookViewId="0">
      <selection activeCell="B3" sqref="B3:B14"/>
    </sheetView>
  </sheetViews>
  <sheetFormatPr baseColWidth="10" defaultColWidth="8.83203125" defaultRowHeight="15" x14ac:dyDescent="0.2"/>
  <cols>
    <col min="2" max="2" width="16.6640625" customWidth="1"/>
    <col min="3" max="3" width="20.6640625" customWidth="1"/>
    <col min="4" max="4" width="15.6640625" customWidth="1"/>
    <col min="6" max="6" width="15.6640625" customWidth="1"/>
    <col min="7" max="7" width="35.6640625" customWidth="1"/>
    <col min="8" max="9" width="70.6640625" customWidth="1"/>
    <col min="10" max="10" width="80.6640625" customWidth="1"/>
    <col min="11" max="11" width="70.6640625" customWidth="1"/>
    <col min="12" max="15" width="60.6640625" customWidth="1"/>
    <col min="16" max="16" width="50.6640625" customWidth="1"/>
    <col min="17" max="18" width="20.6640625" customWidth="1"/>
    <col min="19" max="19" width="30.6640625" customWidth="1"/>
    <col min="20" max="20" width="20.6640625" customWidth="1"/>
    <col min="21" max="21" width="30.6640625" customWidth="1"/>
    <col min="22" max="22" width="70.6640625" customWidth="1"/>
    <col min="23" max="23" width="20.6640625" customWidth="1"/>
    <col min="24" max="24" width="30.6640625" customWidth="1"/>
    <col min="25" max="25" width="20.6640625" customWidth="1"/>
    <col min="26" max="26" width="40.6640625" customWidth="1"/>
    <col min="27" max="27" width="30.6640625" customWidth="1"/>
    <col min="28" max="28" width="50.6640625" customWidth="1"/>
    <col min="29" max="29" width="40.6640625" customWidth="1"/>
    <col min="30" max="30" width="50.6640625" customWidth="1"/>
  </cols>
  <sheetData>
    <row r="1" spans="1:31" ht="30" customHeight="1" x14ac:dyDescent="0.2">
      <c r="A1" s="43" t="s">
        <v>0</v>
      </c>
      <c r="B1" s="43" t="s">
        <v>1</v>
      </c>
      <c r="C1" s="43" t="s">
        <v>2</v>
      </c>
      <c r="D1" s="46" t="s">
        <v>3</v>
      </c>
      <c r="E1" s="43" t="s">
        <v>4</v>
      </c>
      <c r="F1" s="73" t="s">
        <v>5</v>
      </c>
      <c r="G1" s="72" t="s">
        <v>6</v>
      </c>
      <c r="H1" s="65" t="s">
        <v>7</v>
      </c>
      <c r="I1" s="65" t="s">
        <v>8</v>
      </c>
      <c r="J1" s="59" t="s">
        <v>9</v>
      </c>
      <c r="K1" s="69" t="s">
        <v>10</v>
      </c>
      <c r="L1" s="59" t="s">
        <v>11</v>
      </c>
      <c r="M1" s="59" t="s">
        <v>12</v>
      </c>
      <c r="N1" s="69" t="s">
        <v>13</v>
      </c>
      <c r="O1" s="71" t="s">
        <v>14</v>
      </c>
      <c r="P1" s="71" t="s">
        <v>15</v>
      </c>
      <c r="Q1" s="55" t="s">
        <v>16</v>
      </c>
      <c r="R1" s="55" t="s">
        <v>17</v>
      </c>
      <c r="S1" s="55" t="s">
        <v>18</v>
      </c>
      <c r="T1" s="55" t="s">
        <v>19</v>
      </c>
      <c r="U1" s="55" t="s">
        <v>20</v>
      </c>
      <c r="V1" s="59" t="s">
        <v>21</v>
      </c>
      <c r="W1" s="63" t="s">
        <v>22</v>
      </c>
      <c r="X1" s="59" t="s">
        <v>23</v>
      </c>
      <c r="Y1" s="55" t="s">
        <v>24</v>
      </c>
      <c r="Z1" s="55" t="s">
        <v>25</v>
      </c>
      <c r="AA1" s="61" t="s">
        <v>26</v>
      </c>
      <c r="AB1" s="61" t="s">
        <v>27</v>
      </c>
      <c r="AC1" s="61" t="s">
        <v>28</v>
      </c>
      <c r="AD1" s="55" t="s">
        <v>29</v>
      </c>
      <c r="AE1" s="57" t="s">
        <v>30</v>
      </c>
    </row>
    <row r="2" spans="1:31" ht="30" customHeight="1" x14ac:dyDescent="0.2">
      <c r="A2" s="43"/>
      <c r="B2" s="43"/>
      <c r="C2" s="43"/>
      <c r="D2" s="47"/>
      <c r="E2" s="73"/>
      <c r="F2" s="74"/>
      <c r="G2" s="69"/>
      <c r="H2" s="65"/>
      <c r="I2" s="65"/>
      <c r="J2" s="60"/>
      <c r="K2" s="70"/>
      <c r="L2" s="60"/>
      <c r="M2" s="60"/>
      <c r="N2" s="70"/>
      <c r="O2" s="71"/>
      <c r="P2" s="71"/>
      <c r="Q2" s="56"/>
      <c r="R2" s="56"/>
      <c r="S2" s="56"/>
      <c r="T2" s="56"/>
      <c r="U2" s="56"/>
      <c r="V2" s="60"/>
      <c r="W2" s="64"/>
      <c r="X2" s="60"/>
      <c r="Y2" s="56"/>
      <c r="Z2" s="56"/>
      <c r="AA2" s="62"/>
      <c r="AB2" s="62"/>
      <c r="AC2" s="62"/>
      <c r="AD2" s="56"/>
      <c r="AE2" s="58"/>
    </row>
    <row r="3" spans="1:31" x14ac:dyDescent="0.2">
      <c r="A3" s="41">
        <v>1</v>
      </c>
      <c r="B3" s="53" t="s">
        <v>47</v>
      </c>
      <c r="C3" s="51" t="s">
        <v>31</v>
      </c>
      <c r="D3" s="44" t="s">
        <v>32</v>
      </c>
      <c r="E3" s="3" t="s">
        <v>34</v>
      </c>
      <c r="F3" s="1" t="s">
        <v>33</v>
      </c>
      <c r="G3" s="48">
        <v>4300</v>
      </c>
      <c r="H3" s="1">
        <v>236.8</v>
      </c>
      <c r="I3" s="1">
        <v>307.74</v>
      </c>
      <c r="J3" s="1">
        <v>0.87595113600000019</v>
      </c>
      <c r="K3" s="4">
        <v>1541.5227389952001</v>
      </c>
      <c r="L3" s="1">
        <v>166.3</v>
      </c>
      <c r="M3" s="1">
        <v>15.36</v>
      </c>
      <c r="N3" s="4">
        <v>2554.3679999999999</v>
      </c>
      <c r="O3" s="4">
        <v>4095.8907389952001</v>
      </c>
      <c r="P3" s="66">
        <v>7</v>
      </c>
      <c r="Q3" s="4">
        <v>46674.103769945301</v>
      </c>
      <c r="R3" s="4">
        <v>0</v>
      </c>
      <c r="S3" s="4">
        <v>0.2</v>
      </c>
      <c r="T3" s="48">
        <v>1</v>
      </c>
      <c r="U3" s="48">
        <v>4300</v>
      </c>
      <c r="V3" s="1">
        <v>0.14000000000000001</v>
      </c>
      <c r="W3" s="5">
        <v>0</v>
      </c>
      <c r="X3" s="6">
        <v>1</v>
      </c>
      <c r="Y3" s="7">
        <v>31</v>
      </c>
      <c r="Z3" s="1">
        <v>37310.333333333336</v>
      </c>
      <c r="AA3" s="8">
        <v>150</v>
      </c>
      <c r="AB3" s="8">
        <v>8.3000000000000004E-2</v>
      </c>
      <c r="AC3" s="8">
        <v>2.4E-2</v>
      </c>
      <c r="AD3" s="4">
        <v>1203.5591397849464</v>
      </c>
      <c r="AE3" s="5">
        <v>3958.58</v>
      </c>
    </row>
    <row r="4" spans="1:31" x14ac:dyDescent="0.2">
      <c r="A4" s="42"/>
      <c r="B4" s="54"/>
      <c r="C4" s="52"/>
      <c r="D4" s="45"/>
      <c r="E4" s="3" t="s">
        <v>35</v>
      </c>
      <c r="F4" s="1" t="s">
        <v>33</v>
      </c>
      <c r="G4" s="49"/>
      <c r="H4" s="1">
        <v>257.7</v>
      </c>
      <c r="I4" s="1">
        <v>308.97000000000003</v>
      </c>
      <c r="J4" s="1">
        <v>0.88909207200000018</v>
      </c>
      <c r="K4" s="4">
        <v>1681.7986290456001</v>
      </c>
      <c r="L4" s="1">
        <v>172.9</v>
      </c>
      <c r="M4" s="1">
        <v>13.851000000000001</v>
      </c>
      <c r="N4" s="4">
        <v>2394.8379000000004</v>
      </c>
      <c r="O4" s="4">
        <v>4076.6365290456006</v>
      </c>
      <c r="P4" s="67"/>
      <c r="Q4" s="4">
        <v>46454.695330984752</v>
      </c>
      <c r="R4" s="4">
        <v>0.15</v>
      </c>
      <c r="S4" s="4"/>
      <c r="T4" s="49"/>
      <c r="U4" s="49"/>
      <c r="V4" s="1">
        <v>0.41</v>
      </c>
      <c r="W4" s="5">
        <v>6968.204299647713</v>
      </c>
      <c r="X4" s="6">
        <v>1</v>
      </c>
      <c r="Y4" s="7">
        <v>28</v>
      </c>
      <c r="Z4" s="1">
        <v>44195</v>
      </c>
      <c r="AA4" s="8">
        <v>160</v>
      </c>
      <c r="AB4" s="8">
        <v>0.09</v>
      </c>
      <c r="AC4" s="8">
        <v>0.02</v>
      </c>
      <c r="AD4" s="4"/>
      <c r="AE4" s="5">
        <v>0</v>
      </c>
    </row>
    <row r="5" spans="1:31" x14ac:dyDescent="0.2">
      <c r="A5" s="42"/>
      <c r="B5" s="54"/>
      <c r="C5" s="52"/>
      <c r="D5" s="45"/>
      <c r="E5" s="3" t="s">
        <v>36</v>
      </c>
      <c r="F5" s="1" t="s">
        <v>33</v>
      </c>
      <c r="G5" s="49"/>
      <c r="H5" s="1">
        <v>259.10000000000002</v>
      </c>
      <c r="I5" s="1">
        <v>312.26</v>
      </c>
      <c r="J5" s="1">
        <v>0.85509278400000011</v>
      </c>
      <c r="K5" s="4">
        <v>1720.2030436656</v>
      </c>
      <c r="L5" s="1">
        <v>167.6</v>
      </c>
      <c r="M5" s="1">
        <v>13.78</v>
      </c>
      <c r="N5" s="4">
        <v>2309.5279999999998</v>
      </c>
      <c r="O5" s="4">
        <v>4029.7310436655998</v>
      </c>
      <c r="P5" s="67"/>
      <c r="Q5" s="4">
        <v>45920.190962701017</v>
      </c>
      <c r="R5" s="4">
        <v>0.15</v>
      </c>
      <c r="S5" s="4"/>
      <c r="T5" s="49"/>
      <c r="U5" s="49"/>
      <c r="V5" s="1">
        <v>0.12</v>
      </c>
      <c r="W5" s="5">
        <v>6888.0286444051526</v>
      </c>
      <c r="X5" s="6">
        <v>1</v>
      </c>
      <c r="Y5" s="7">
        <v>31</v>
      </c>
      <c r="Z5" s="1">
        <v>58649</v>
      </c>
      <c r="AA5" s="8">
        <v>130</v>
      </c>
      <c r="AB5" s="8">
        <v>0.08</v>
      </c>
      <c r="AC5" s="8">
        <v>0.02</v>
      </c>
      <c r="AD5" s="4"/>
      <c r="AE5" s="5">
        <v>0</v>
      </c>
    </row>
    <row r="6" spans="1:31" x14ac:dyDescent="0.2">
      <c r="A6" s="42"/>
      <c r="B6" s="54"/>
      <c r="C6" s="52"/>
      <c r="D6" s="45"/>
      <c r="E6" s="3" t="s">
        <v>37</v>
      </c>
      <c r="F6" s="1" t="s">
        <v>33</v>
      </c>
      <c r="G6" s="49"/>
      <c r="H6" s="1">
        <v>309.89999999999998</v>
      </c>
      <c r="I6" s="1">
        <v>302</v>
      </c>
      <c r="J6" s="1">
        <v>0.84439200000000003</v>
      </c>
      <c r="K6" s="11">
        <v>1984.4781192</v>
      </c>
      <c r="L6" s="1">
        <v>170.6</v>
      </c>
      <c r="M6" s="1">
        <v>8.8930000000000007</v>
      </c>
      <c r="N6" s="4">
        <v>1517.1458</v>
      </c>
      <c r="O6" s="4">
        <v>3501.6239191999998</v>
      </c>
      <c r="P6" s="67"/>
      <c r="Q6" s="4">
        <v>39902.226056</v>
      </c>
      <c r="R6" s="4">
        <v>0</v>
      </c>
      <c r="S6" s="4"/>
      <c r="T6" s="49"/>
      <c r="U6" s="49"/>
      <c r="V6" s="1">
        <v>0.22</v>
      </c>
      <c r="W6" s="5">
        <v>5837.93</v>
      </c>
      <c r="X6" s="6">
        <v>1</v>
      </c>
      <c r="Y6" s="7">
        <v>30</v>
      </c>
      <c r="Z6" s="1">
        <v>22711</v>
      </c>
      <c r="AA6" s="8">
        <v>700</v>
      </c>
      <c r="AB6" s="8">
        <v>0.08</v>
      </c>
      <c r="AC6" s="8">
        <v>0.01</v>
      </c>
      <c r="AD6" s="4"/>
      <c r="AE6" s="5">
        <v>0</v>
      </c>
    </row>
    <row r="7" spans="1:31" x14ac:dyDescent="0.2">
      <c r="A7" s="42"/>
      <c r="B7" s="54"/>
      <c r="C7" s="52"/>
      <c r="D7" s="45"/>
      <c r="E7" s="3" t="s">
        <v>38</v>
      </c>
      <c r="F7" s="1" t="s">
        <v>33</v>
      </c>
      <c r="G7" s="49"/>
      <c r="H7" s="1">
        <v>375.1</v>
      </c>
      <c r="I7" s="1">
        <v>273.55</v>
      </c>
      <c r="J7" s="1">
        <v>0.73267632000000005</v>
      </c>
      <c r="K7" s="4">
        <v>2187.7796323680004</v>
      </c>
      <c r="L7" s="1">
        <v>176</v>
      </c>
      <c r="M7" s="1">
        <v>7.2370000000000001</v>
      </c>
      <c r="N7" s="4">
        <v>1273.712</v>
      </c>
      <c r="O7" s="4">
        <v>3461.4916323680004</v>
      </c>
      <c r="P7" s="67"/>
      <c r="Q7" s="4">
        <v>39444.904647914424</v>
      </c>
      <c r="R7" s="4">
        <v>0.15</v>
      </c>
      <c r="S7" s="4"/>
      <c r="T7" s="49"/>
      <c r="U7" s="49"/>
      <c r="V7" s="1">
        <v>0.28999999999999998</v>
      </c>
      <c r="W7" s="5">
        <v>5916.7356971871632</v>
      </c>
      <c r="X7" s="6">
        <v>1</v>
      </c>
      <c r="Y7" s="7">
        <v>31</v>
      </c>
      <c r="Z7" s="1">
        <v>51199</v>
      </c>
      <c r="AA7" s="8">
        <v>300</v>
      </c>
      <c r="AB7" s="8">
        <v>0.1</v>
      </c>
      <c r="AC7" s="8">
        <v>0.02</v>
      </c>
      <c r="AD7" s="4"/>
      <c r="AE7" s="5">
        <v>0</v>
      </c>
    </row>
    <row r="8" spans="1:31" x14ac:dyDescent="0.2">
      <c r="A8" s="42"/>
      <c r="B8" s="54"/>
      <c r="C8" s="52"/>
      <c r="D8" s="45"/>
      <c r="E8" s="3" t="s">
        <v>39</v>
      </c>
      <c r="F8" s="1" t="s">
        <v>33</v>
      </c>
      <c r="G8" s="49"/>
      <c r="H8" s="1">
        <v>389.4</v>
      </c>
      <c r="I8" s="1">
        <v>320</v>
      </c>
      <c r="J8" s="1">
        <v>0.86246400000000012</v>
      </c>
      <c r="K8" s="4">
        <v>2654.7485183999997</v>
      </c>
      <c r="L8" s="1">
        <v>199.8</v>
      </c>
      <c r="M8" s="1">
        <v>2.778</v>
      </c>
      <c r="N8" s="4">
        <v>555.0444</v>
      </c>
      <c r="O8" s="4">
        <v>3209.7929183999995</v>
      </c>
      <c r="P8" s="67"/>
      <c r="Q8" s="4">
        <v>36576.710000372084</v>
      </c>
      <c r="R8" s="4">
        <v>0.15</v>
      </c>
      <c r="S8" s="4"/>
      <c r="T8" s="49"/>
      <c r="U8" s="49"/>
      <c r="V8" s="1">
        <v>0.31</v>
      </c>
      <c r="W8" s="5">
        <v>5486.5065000558125</v>
      </c>
      <c r="X8" s="6">
        <v>1</v>
      </c>
      <c r="Y8" s="7">
        <v>30</v>
      </c>
      <c r="Z8" s="1">
        <v>53923</v>
      </c>
      <c r="AA8" s="8">
        <v>190</v>
      </c>
      <c r="AB8" s="8">
        <v>0.1</v>
      </c>
      <c r="AC8" s="8">
        <v>0.02</v>
      </c>
      <c r="AD8" s="4"/>
      <c r="AE8" s="5">
        <v>0</v>
      </c>
    </row>
    <row r="9" spans="1:31" x14ac:dyDescent="0.2">
      <c r="A9" s="42"/>
      <c r="B9" s="54"/>
      <c r="C9" s="52"/>
      <c r="D9" s="45"/>
      <c r="E9" s="3" t="s">
        <v>40</v>
      </c>
      <c r="F9" s="1" t="s">
        <v>33</v>
      </c>
      <c r="G9" s="49"/>
      <c r="H9" s="1">
        <v>394.6</v>
      </c>
      <c r="I9" s="1">
        <v>284.52</v>
      </c>
      <c r="J9" s="1">
        <v>0.746352864</v>
      </c>
      <c r="K9" s="4">
        <v>2400.0073678655999</v>
      </c>
      <c r="L9" s="1">
        <v>199.9</v>
      </c>
      <c r="M9" s="1">
        <v>2.6160000000000001</v>
      </c>
      <c r="N9" s="4">
        <v>522.9384</v>
      </c>
      <c r="O9" s="4">
        <v>2922.9457678655999</v>
      </c>
      <c r="P9" s="67"/>
      <c r="Q9" s="4">
        <v>33307.986657073117</v>
      </c>
      <c r="R9" s="4">
        <v>0.15</v>
      </c>
      <c r="S9" s="4"/>
      <c r="T9" s="49"/>
      <c r="U9" s="49"/>
      <c r="V9" s="1">
        <v>0.23</v>
      </c>
      <c r="W9" s="5">
        <v>4996.1979985609678</v>
      </c>
      <c r="X9" s="6">
        <v>1</v>
      </c>
      <c r="Y9" s="7">
        <v>31</v>
      </c>
      <c r="Z9" s="1">
        <v>58514.666666666664</v>
      </c>
      <c r="AA9" s="8">
        <v>200</v>
      </c>
      <c r="AB9" s="8">
        <v>0.09</v>
      </c>
      <c r="AC9" s="8">
        <v>0.03</v>
      </c>
      <c r="AD9" s="4"/>
      <c r="AE9" s="5">
        <v>0</v>
      </c>
    </row>
    <row r="10" spans="1:31" x14ac:dyDescent="0.2">
      <c r="A10" s="42"/>
      <c r="B10" s="54"/>
      <c r="C10" s="52"/>
      <c r="D10" s="45"/>
      <c r="E10" s="3" t="s">
        <v>41</v>
      </c>
      <c r="F10" s="1" t="s">
        <v>33</v>
      </c>
      <c r="G10" s="49"/>
      <c r="H10" s="1">
        <v>388.6</v>
      </c>
      <c r="I10" s="1">
        <v>156.13</v>
      </c>
      <c r="J10" s="1">
        <v>0.38632807200000002</v>
      </c>
      <c r="K10" s="4">
        <v>1306.0037432208001</v>
      </c>
      <c r="L10" s="1">
        <v>199.9</v>
      </c>
      <c r="M10" s="1">
        <v>1.6870000000000001</v>
      </c>
      <c r="N10" s="4">
        <v>337.23130000000003</v>
      </c>
      <c r="O10" s="4">
        <v>1643.2350432208</v>
      </c>
      <c r="P10" s="67"/>
      <c r="Q10" s="4">
        <v>18725.236539027719</v>
      </c>
      <c r="R10" s="4">
        <v>0.15</v>
      </c>
      <c r="S10" s="4"/>
      <c r="T10" s="49"/>
      <c r="U10" s="49"/>
      <c r="V10" s="1">
        <v>0.2</v>
      </c>
      <c r="W10" s="5">
        <v>2808.7854808541579</v>
      </c>
      <c r="X10" s="6">
        <v>1</v>
      </c>
      <c r="Y10" s="7">
        <v>31</v>
      </c>
      <c r="Z10" s="1">
        <v>42722.76666666667</v>
      </c>
      <c r="AA10" s="8">
        <v>200</v>
      </c>
      <c r="AB10" s="8">
        <v>0.06</v>
      </c>
      <c r="AC10" s="8">
        <v>0.02</v>
      </c>
      <c r="AD10" s="4"/>
      <c r="AE10" s="5">
        <v>0</v>
      </c>
    </row>
    <row r="11" spans="1:31" x14ac:dyDescent="0.2">
      <c r="A11" s="42"/>
      <c r="B11" s="54"/>
      <c r="C11" s="52"/>
      <c r="D11" s="45"/>
      <c r="E11" s="3" t="s">
        <v>42</v>
      </c>
      <c r="F11" s="1" t="s">
        <v>33</v>
      </c>
      <c r="G11" s="49"/>
      <c r="H11" s="1">
        <v>382.8</v>
      </c>
      <c r="I11" s="1">
        <v>266.33</v>
      </c>
      <c r="J11" s="1">
        <v>0.743380296</v>
      </c>
      <c r="K11" s="4">
        <v>2162.2609986912003</v>
      </c>
      <c r="L11" s="1">
        <v>199.9</v>
      </c>
      <c r="M11" s="1">
        <v>2.1749999999999998</v>
      </c>
      <c r="N11" s="4">
        <v>434.78249999999997</v>
      </c>
      <c r="O11" s="4">
        <v>2597.0434986912001</v>
      </c>
      <c r="P11" s="67"/>
      <c r="Q11" s="4">
        <v>29594.216612992743</v>
      </c>
      <c r="R11" s="4">
        <v>0</v>
      </c>
      <c r="S11" s="4"/>
      <c r="T11" s="49"/>
      <c r="U11" s="49"/>
      <c r="V11" s="1">
        <v>0.19</v>
      </c>
      <c r="W11" s="5">
        <v>4827.38</v>
      </c>
      <c r="X11" s="6">
        <v>1</v>
      </c>
      <c r="Y11" s="7">
        <v>30</v>
      </c>
      <c r="Z11" s="1">
        <v>22976.166666666668</v>
      </c>
      <c r="AA11" s="8">
        <v>200</v>
      </c>
      <c r="AB11" s="8">
        <v>7.0000000000000007E-2</v>
      </c>
      <c r="AC11" s="8">
        <v>0.02</v>
      </c>
      <c r="AD11" s="4"/>
      <c r="AE11" s="5">
        <v>0</v>
      </c>
    </row>
    <row r="12" spans="1:31" x14ac:dyDescent="0.2">
      <c r="A12" s="42"/>
      <c r="B12" s="54"/>
      <c r="C12" s="52"/>
      <c r="D12" s="45"/>
      <c r="E12" s="3" t="s">
        <v>43</v>
      </c>
      <c r="F12" s="1" t="s">
        <v>33</v>
      </c>
      <c r="G12" s="49"/>
      <c r="H12" s="1">
        <v>308.89999999999998</v>
      </c>
      <c r="I12" s="1">
        <v>310.32</v>
      </c>
      <c r="J12" s="1">
        <v>0.82818201599999985</v>
      </c>
      <c r="K12" s="4">
        <v>2044.7629272576</v>
      </c>
      <c r="L12" s="1">
        <v>175.3</v>
      </c>
      <c r="M12" s="1">
        <v>7.6719999999999997</v>
      </c>
      <c r="N12" s="4">
        <v>1344.9016000000001</v>
      </c>
      <c r="O12" s="4">
        <v>3389.6645272576002</v>
      </c>
      <c r="P12" s="67"/>
      <c r="Q12" s="4">
        <v>38626.409729214516</v>
      </c>
      <c r="R12" s="4">
        <v>0.15</v>
      </c>
      <c r="S12" s="4"/>
      <c r="T12" s="49"/>
      <c r="U12" s="49"/>
      <c r="V12" s="1">
        <v>0.13</v>
      </c>
      <c r="W12" s="5">
        <v>5793.9614593821771</v>
      </c>
      <c r="X12" s="6">
        <v>1</v>
      </c>
      <c r="Y12" s="7">
        <v>31</v>
      </c>
      <c r="Z12" s="1">
        <v>61993.333333333336</v>
      </c>
      <c r="AA12" s="8">
        <v>600</v>
      </c>
      <c r="AB12" s="8">
        <v>0.06</v>
      </c>
      <c r="AC12" s="8">
        <v>0.01</v>
      </c>
      <c r="AD12" s="4"/>
      <c r="AE12" s="5">
        <v>0</v>
      </c>
    </row>
    <row r="13" spans="1:31" x14ac:dyDescent="0.2">
      <c r="A13" s="42"/>
      <c r="B13" s="54"/>
      <c r="C13" s="52"/>
      <c r="D13" s="45"/>
      <c r="E13" s="3" t="s">
        <v>44</v>
      </c>
      <c r="F13" s="1" t="s">
        <v>33</v>
      </c>
      <c r="G13" s="49"/>
      <c r="H13" s="1">
        <v>267.5</v>
      </c>
      <c r="I13" s="1">
        <v>300</v>
      </c>
      <c r="J13" s="1">
        <v>0.84960000000000013</v>
      </c>
      <c r="K13" s="4">
        <v>1698.7320000000002</v>
      </c>
      <c r="L13" s="1">
        <v>174.9</v>
      </c>
      <c r="M13" s="1">
        <v>12.157999999999999</v>
      </c>
      <c r="N13" s="4">
        <v>2126.4342000000001</v>
      </c>
      <c r="O13" s="4">
        <v>3825.1662000000006</v>
      </c>
      <c r="P13" s="67"/>
      <c r="Q13" s="4">
        <v>43589.103209302339</v>
      </c>
      <c r="R13" s="4">
        <v>0.15</v>
      </c>
      <c r="S13" s="4"/>
      <c r="T13" s="49"/>
      <c r="U13" s="49"/>
      <c r="V13" s="1">
        <v>0.23</v>
      </c>
      <c r="W13" s="5">
        <v>6538.3654813953508</v>
      </c>
      <c r="X13" s="6">
        <v>1</v>
      </c>
      <c r="Y13" s="7">
        <v>30</v>
      </c>
      <c r="Z13" s="1">
        <v>52801.666666666664</v>
      </c>
      <c r="AA13" s="8">
        <v>700</v>
      </c>
      <c r="AB13" s="8">
        <v>7.0000000000000007E-2</v>
      </c>
      <c r="AC13" s="8">
        <v>0.02</v>
      </c>
      <c r="AD13" s="4"/>
      <c r="AE13" s="5">
        <v>0</v>
      </c>
    </row>
    <row r="14" spans="1:31" x14ac:dyDescent="0.2">
      <c r="A14" s="42"/>
      <c r="B14" s="54"/>
      <c r="C14" s="52"/>
      <c r="D14" s="45"/>
      <c r="E14" s="3" t="s">
        <v>45</v>
      </c>
      <c r="F14" s="1" t="s">
        <v>33</v>
      </c>
      <c r="G14" s="50"/>
      <c r="H14" s="1">
        <v>251.3</v>
      </c>
      <c r="I14" s="1">
        <v>292.89999999999998</v>
      </c>
      <c r="J14" s="1">
        <v>0.83863127999999987</v>
      </c>
      <c r="K14" s="4">
        <v>1555.790439336</v>
      </c>
      <c r="L14" s="1">
        <v>171.5</v>
      </c>
      <c r="M14" s="1">
        <v>14.916</v>
      </c>
      <c r="N14" s="4">
        <v>2558.0940000000001</v>
      </c>
      <c r="O14" s="4">
        <v>4113.8844393359996</v>
      </c>
      <c r="P14" s="68"/>
      <c r="Q14" s="4">
        <v>46879.148262200928</v>
      </c>
      <c r="R14" s="4">
        <v>0.15</v>
      </c>
      <c r="S14" s="4"/>
      <c r="T14" s="50"/>
      <c r="U14" s="50"/>
      <c r="V14" s="1">
        <v>0.1</v>
      </c>
      <c r="W14" s="5">
        <v>7031.8722393301387</v>
      </c>
      <c r="X14" s="6">
        <v>1</v>
      </c>
      <c r="Y14" s="7">
        <v>31</v>
      </c>
      <c r="Z14" s="1">
        <v>52390.666666666664</v>
      </c>
      <c r="AA14" s="8">
        <v>100</v>
      </c>
      <c r="AB14" s="8">
        <v>0.08</v>
      </c>
      <c r="AC14" s="8">
        <v>0.02</v>
      </c>
      <c r="AD14" s="4"/>
      <c r="AE14" s="5">
        <v>0</v>
      </c>
    </row>
  </sheetData>
  <mergeCells count="39">
    <mergeCell ref="G1:G2"/>
    <mergeCell ref="E1:E2"/>
    <mergeCell ref="AA1:AA2"/>
    <mergeCell ref="Z1:Z2"/>
    <mergeCell ref="F1:F2"/>
    <mergeCell ref="I1:I2"/>
    <mergeCell ref="J1:J2"/>
    <mergeCell ref="K1:K2"/>
    <mergeCell ref="P3:P14"/>
    <mergeCell ref="AB1:AB2"/>
    <mergeCell ref="L1:L2"/>
    <mergeCell ref="X1:X2"/>
    <mergeCell ref="M1:M2"/>
    <mergeCell ref="N1:N2"/>
    <mergeCell ref="O1:O2"/>
    <mergeCell ref="P1:P2"/>
    <mergeCell ref="Q1:Q2"/>
    <mergeCell ref="R1:R2"/>
    <mergeCell ref="G3:G14"/>
    <mergeCell ref="C3:C14"/>
    <mergeCell ref="B3:B14"/>
    <mergeCell ref="AD1:AD2"/>
    <mergeCell ref="AE1:AE2"/>
    <mergeCell ref="T1:T2"/>
    <mergeCell ref="U1:U2"/>
    <mergeCell ref="V1:V2"/>
    <mergeCell ref="AC1:AC2"/>
    <mergeCell ref="W1:W2"/>
    <mergeCell ref="C1:C2"/>
    <mergeCell ref="H1:H2"/>
    <mergeCell ref="T3:T14"/>
    <mergeCell ref="U3:U14"/>
    <mergeCell ref="Y1:Y2"/>
    <mergeCell ref="S1:S2"/>
    <mergeCell ref="A3:A14"/>
    <mergeCell ref="A1:A2"/>
    <mergeCell ref="B1:B2"/>
    <mergeCell ref="D3:D14"/>
    <mergeCell ref="D1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B956B-E27B-4860-9DB0-D7231D64BF21}">
  <dimension ref="A1:I14"/>
  <sheetViews>
    <sheetView workbookViewId="0">
      <selection activeCell="E3" sqref="E3:E14"/>
    </sheetView>
  </sheetViews>
  <sheetFormatPr baseColWidth="10" defaultColWidth="8.83203125" defaultRowHeight="15" x14ac:dyDescent="0.2"/>
  <cols>
    <col min="2" max="3" width="15.6640625" customWidth="1"/>
    <col min="4" max="4" width="10.6640625" customWidth="1"/>
    <col min="5" max="6" width="40.6640625" customWidth="1"/>
    <col min="7" max="9" width="15.6640625" customWidth="1"/>
  </cols>
  <sheetData>
    <row r="1" spans="1:9" x14ac:dyDescent="0.2">
      <c r="A1" s="29" t="s">
        <v>0</v>
      </c>
      <c r="B1" s="29" t="s">
        <v>1</v>
      </c>
      <c r="C1" s="29" t="s">
        <v>2</v>
      </c>
      <c r="D1" s="29" t="s">
        <v>4</v>
      </c>
      <c r="E1" s="29" t="s">
        <v>49</v>
      </c>
      <c r="F1" s="31" t="s">
        <v>50</v>
      </c>
      <c r="G1" s="12" t="s">
        <v>51</v>
      </c>
      <c r="H1" s="33" t="s">
        <v>4</v>
      </c>
      <c r="I1" s="14" t="s">
        <v>52</v>
      </c>
    </row>
    <row r="2" spans="1:9" x14ac:dyDescent="0.2">
      <c r="A2" s="30"/>
      <c r="B2" s="30"/>
      <c r="C2" s="30"/>
      <c r="D2" s="30"/>
      <c r="E2" s="30"/>
      <c r="F2" s="32"/>
      <c r="G2" s="13"/>
      <c r="H2" s="34"/>
      <c r="I2" s="15"/>
    </row>
    <row r="3" spans="1:9" x14ac:dyDescent="0.2">
      <c r="A3" s="16">
        <v>1</v>
      </c>
      <c r="B3" s="19" t="s">
        <v>47</v>
      </c>
      <c r="C3" s="22" t="s">
        <v>53</v>
      </c>
      <c r="D3" s="3" t="s">
        <v>34</v>
      </c>
      <c r="E3" s="25">
        <v>2000</v>
      </c>
      <c r="F3" s="25">
        <v>4</v>
      </c>
      <c r="G3" s="28">
        <v>700</v>
      </c>
      <c r="H3" s="3" t="s">
        <v>34</v>
      </c>
      <c r="I3" s="2">
        <v>800</v>
      </c>
    </row>
    <row r="4" spans="1:9" x14ac:dyDescent="0.2">
      <c r="A4" s="17"/>
      <c r="B4" s="20"/>
      <c r="C4" s="23"/>
      <c r="D4" s="3" t="s">
        <v>35</v>
      </c>
      <c r="E4" s="26"/>
      <c r="F4" s="26"/>
      <c r="G4" s="23"/>
      <c r="H4" s="3" t="s">
        <v>35</v>
      </c>
      <c r="I4" s="2">
        <v>700</v>
      </c>
    </row>
    <row r="5" spans="1:9" x14ac:dyDescent="0.2">
      <c r="A5" s="17"/>
      <c r="B5" s="20"/>
      <c r="C5" s="23"/>
      <c r="D5" s="3" t="s">
        <v>36</v>
      </c>
      <c r="E5" s="26"/>
      <c r="F5" s="26"/>
      <c r="G5" s="23"/>
      <c r="H5" s="3" t="s">
        <v>36</v>
      </c>
      <c r="I5" s="2">
        <v>600</v>
      </c>
    </row>
    <row r="6" spans="1:9" x14ac:dyDescent="0.2">
      <c r="A6" s="17"/>
      <c r="B6" s="20"/>
      <c r="C6" s="23"/>
      <c r="D6" s="3" t="s">
        <v>37</v>
      </c>
      <c r="E6" s="26"/>
      <c r="F6" s="26"/>
      <c r="G6" s="23"/>
      <c r="H6" s="3" t="s">
        <v>37</v>
      </c>
      <c r="I6" s="2">
        <v>500</v>
      </c>
    </row>
    <row r="7" spans="1:9" x14ac:dyDescent="0.2">
      <c r="A7" s="17"/>
      <c r="B7" s="20"/>
      <c r="C7" s="23"/>
      <c r="D7" s="3" t="s">
        <v>38</v>
      </c>
      <c r="E7" s="26"/>
      <c r="F7" s="26"/>
      <c r="G7" s="23"/>
      <c r="H7" s="3" t="s">
        <v>38</v>
      </c>
      <c r="I7" s="2">
        <v>400</v>
      </c>
    </row>
    <row r="8" spans="1:9" x14ac:dyDescent="0.2">
      <c r="A8" s="17"/>
      <c r="B8" s="20"/>
      <c r="C8" s="23"/>
      <c r="D8" s="3" t="s">
        <v>39</v>
      </c>
      <c r="E8" s="26"/>
      <c r="F8" s="26"/>
      <c r="G8" s="23"/>
      <c r="H8" s="3" t="s">
        <v>39</v>
      </c>
      <c r="I8" s="2">
        <v>400</v>
      </c>
    </row>
    <row r="9" spans="1:9" x14ac:dyDescent="0.2">
      <c r="A9" s="17"/>
      <c r="B9" s="20"/>
      <c r="C9" s="23"/>
      <c r="D9" s="3" t="s">
        <v>40</v>
      </c>
      <c r="E9" s="26"/>
      <c r="F9" s="26"/>
      <c r="G9" s="23"/>
      <c r="H9" s="3" t="s">
        <v>40</v>
      </c>
      <c r="I9" s="2">
        <v>300</v>
      </c>
    </row>
    <row r="10" spans="1:9" x14ac:dyDescent="0.2">
      <c r="A10" s="17"/>
      <c r="B10" s="20"/>
      <c r="C10" s="23"/>
      <c r="D10" s="3" t="s">
        <v>41</v>
      </c>
      <c r="E10" s="26"/>
      <c r="F10" s="26"/>
      <c r="G10" s="23"/>
      <c r="H10" s="3" t="s">
        <v>41</v>
      </c>
      <c r="I10" s="2">
        <v>400</v>
      </c>
    </row>
    <row r="11" spans="1:9" x14ac:dyDescent="0.2">
      <c r="A11" s="17"/>
      <c r="B11" s="20"/>
      <c r="C11" s="23"/>
      <c r="D11" s="3" t="s">
        <v>42</v>
      </c>
      <c r="E11" s="26"/>
      <c r="F11" s="26"/>
      <c r="G11" s="23"/>
      <c r="H11" s="3" t="s">
        <v>42</v>
      </c>
      <c r="I11" s="2">
        <v>500</v>
      </c>
    </row>
    <row r="12" spans="1:9" x14ac:dyDescent="0.2">
      <c r="A12" s="17"/>
      <c r="B12" s="20"/>
      <c r="C12" s="23"/>
      <c r="D12" s="3" t="s">
        <v>43</v>
      </c>
      <c r="E12" s="26"/>
      <c r="F12" s="26"/>
      <c r="G12" s="23"/>
      <c r="H12" s="3" t="s">
        <v>43</v>
      </c>
      <c r="I12" s="2">
        <v>600</v>
      </c>
    </row>
    <row r="13" spans="1:9" x14ac:dyDescent="0.2">
      <c r="A13" s="17"/>
      <c r="B13" s="20"/>
      <c r="C13" s="23"/>
      <c r="D13" s="3" t="s">
        <v>44</v>
      </c>
      <c r="E13" s="26"/>
      <c r="F13" s="26"/>
      <c r="G13" s="23"/>
      <c r="H13" s="3" t="s">
        <v>44</v>
      </c>
      <c r="I13" s="2">
        <v>700</v>
      </c>
    </row>
    <row r="14" spans="1:9" x14ac:dyDescent="0.2">
      <c r="A14" s="18"/>
      <c r="B14" s="21"/>
      <c r="C14" s="24"/>
      <c r="D14" s="3" t="s">
        <v>45</v>
      </c>
      <c r="E14" s="27"/>
      <c r="F14" s="27"/>
      <c r="G14" s="24"/>
      <c r="H14" s="3" t="s">
        <v>45</v>
      </c>
      <c r="I14" s="2">
        <v>700</v>
      </c>
    </row>
  </sheetData>
  <mergeCells count="15">
    <mergeCell ref="G1:G2"/>
    <mergeCell ref="I1:I2"/>
    <mergeCell ref="A3:A14"/>
    <mergeCell ref="B3:B14"/>
    <mergeCell ref="C3:C14"/>
    <mergeCell ref="E3:E14"/>
    <mergeCell ref="F3:F14"/>
    <mergeCell ref="G3:G14"/>
    <mergeCell ref="A1:A2"/>
    <mergeCell ref="B1:B2"/>
    <mergeCell ref="C1:C2"/>
    <mergeCell ref="D1:D2"/>
    <mergeCell ref="E1:E2"/>
    <mergeCell ref="F1:F2"/>
    <mergeCell ref="H1:H2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E5AAE-BDC2-4456-A449-5FA4DFB3DA6F}">
  <dimension ref="A1:F14"/>
  <sheetViews>
    <sheetView workbookViewId="0">
      <selection activeCell="H8" sqref="H8"/>
    </sheetView>
  </sheetViews>
  <sheetFormatPr baseColWidth="10" defaultColWidth="8.83203125" defaultRowHeight="15" x14ac:dyDescent="0.2"/>
  <cols>
    <col min="2" max="2" width="15.6640625" customWidth="1"/>
    <col min="6" max="6" width="9.83203125" bestFit="1" customWidth="1"/>
  </cols>
  <sheetData>
    <row r="1" spans="1:6" x14ac:dyDescent="0.2">
      <c r="A1" s="77" t="s">
        <v>0</v>
      </c>
      <c r="B1" s="46" t="s">
        <v>1</v>
      </c>
      <c r="C1" s="46" t="s">
        <v>4</v>
      </c>
      <c r="D1" s="46" t="s">
        <v>54</v>
      </c>
      <c r="E1" s="46" t="s">
        <v>22</v>
      </c>
      <c r="F1" s="75" t="s">
        <v>55</v>
      </c>
    </row>
    <row r="2" spans="1:6" x14ac:dyDescent="0.2">
      <c r="A2" s="77"/>
      <c r="B2" s="47"/>
      <c r="C2" s="47"/>
      <c r="D2" s="47"/>
      <c r="E2" s="47"/>
      <c r="F2" s="76"/>
    </row>
    <row r="3" spans="1:6" x14ac:dyDescent="0.2">
      <c r="A3" s="78">
        <v>1</v>
      </c>
      <c r="B3" s="81" t="s">
        <v>47</v>
      </c>
      <c r="C3" s="3" t="s">
        <v>34</v>
      </c>
      <c r="D3" s="10">
        <v>47614.903769945304</v>
      </c>
      <c r="E3" s="10">
        <v>7381.27</v>
      </c>
      <c r="F3" s="2">
        <f>SUM(D3,E3)</f>
        <v>54996.173769945308</v>
      </c>
    </row>
    <row r="4" spans="1:6" x14ac:dyDescent="0.2">
      <c r="A4" s="79"/>
      <c r="B4" s="82"/>
      <c r="C4" s="3" t="s">
        <v>35</v>
      </c>
      <c r="D4" s="10">
        <v>46454.695330984752</v>
      </c>
      <c r="E4" s="10">
        <v>6968.204299647713</v>
      </c>
      <c r="F4" s="2">
        <f t="shared" ref="F4:F14" si="0">SUM(D4,E4)</f>
        <v>53422.899630632463</v>
      </c>
    </row>
    <row r="5" spans="1:6" x14ac:dyDescent="0.2">
      <c r="A5" s="79"/>
      <c r="B5" s="82"/>
      <c r="C5" s="3" t="s">
        <v>36</v>
      </c>
      <c r="D5" s="10">
        <v>45920.190962701017</v>
      </c>
      <c r="E5" s="10">
        <v>6888.0286444051526</v>
      </c>
      <c r="F5" s="2">
        <f t="shared" si="0"/>
        <v>52808.21960710617</v>
      </c>
    </row>
    <row r="6" spans="1:6" x14ac:dyDescent="0.2">
      <c r="A6" s="79"/>
      <c r="B6" s="82"/>
      <c r="C6" s="3" t="s">
        <v>37</v>
      </c>
      <c r="D6" s="10">
        <v>39902.226056</v>
      </c>
      <c r="E6" s="10">
        <v>6628.93</v>
      </c>
      <c r="F6" s="2">
        <f t="shared" si="0"/>
        <v>46531.156056</v>
      </c>
    </row>
    <row r="7" spans="1:6" x14ac:dyDescent="0.2">
      <c r="A7" s="79"/>
      <c r="B7" s="82"/>
      <c r="C7" s="3" t="s">
        <v>38</v>
      </c>
      <c r="D7" s="10">
        <v>39444.904647914424</v>
      </c>
      <c r="E7" s="10">
        <v>5916.7356971871632</v>
      </c>
      <c r="F7" s="2">
        <f t="shared" si="0"/>
        <v>45361.640345101587</v>
      </c>
    </row>
    <row r="8" spans="1:6" x14ac:dyDescent="0.2">
      <c r="A8" s="79"/>
      <c r="B8" s="82"/>
      <c r="C8" s="3" t="s">
        <v>39</v>
      </c>
      <c r="D8" s="10">
        <v>36576.710000372084</v>
      </c>
      <c r="E8" s="10">
        <v>5486.5065000558125</v>
      </c>
      <c r="F8" s="2">
        <f t="shared" si="0"/>
        <v>42063.216500427894</v>
      </c>
    </row>
    <row r="9" spans="1:6" x14ac:dyDescent="0.2">
      <c r="A9" s="79"/>
      <c r="B9" s="82"/>
      <c r="C9" s="3" t="s">
        <v>40</v>
      </c>
      <c r="D9" s="10">
        <v>33307.986657073117</v>
      </c>
      <c r="E9" s="10">
        <v>4996.1979985609678</v>
      </c>
      <c r="F9" s="2">
        <f t="shared" si="0"/>
        <v>38304.184655634082</v>
      </c>
    </row>
    <row r="10" spans="1:6" x14ac:dyDescent="0.2">
      <c r="A10" s="79"/>
      <c r="B10" s="82"/>
      <c r="C10" s="3" t="s">
        <v>41</v>
      </c>
      <c r="D10" s="10">
        <v>18725.236539027719</v>
      </c>
      <c r="E10" s="10">
        <v>2808.7854808541579</v>
      </c>
      <c r="F10" s="2">
        <f t="shared" si="0"/>
        <v>21534.022019881879</v>
      </c>
    </row>
    <row r="11" spans="1:6" x14ac:dyDescent="0.2">
      <c r="A11" s="79"/>
      <c r="B11" s="82"/>
      <c r="C11" s="3" t="s">
        <v>42</v>
      </c>
      <c r="D11" s="10">
        <v>29594.216612992743</v>
      </c>
      <c r="E11" s="10">
        <v>3728.83</v>
      </c>
      <c r="F11" s="2">
        <f t="shared" si="0"/>
        <v>33323.046612992744</v>
      </c>
    </row>
    <row r="12" spans="1:6" x14ac:dyDescent="0.2">
      <c r="A12" s="79"/>
      <c r="B12" s="82"/>
      <c r="C12" s="3" t="s">
        <v>43</v>
      </c>
      <c r="D12" s="10">
        <v>38626.409729214516</v>
      </c>
      <c r="E12" s="10">
        <v>5793.9614593821771</v>
      </c>
      <c r="F12" s="2">
        <f t="shared" si="0"/>
        <v>44420.371188596691</v>
      </c>
    </row>
    <row r="13" spans="1:6" x14ac:dyDescent="0.2">
      <c r="A13" s="79"/>
      <c r="B13" s="82"/>
      <c r="C13" s="3" t="s">
        <v>44</v>
      </c>
      <c r="D13" s="10">
        <v>43589.103209302339</v>
      </c>
      <c r="E13" s="10">
        <v>6538.3654813953508</v>
      </c>
      <c r="F13" s="2">
        <f t="shared" si="0"/>
        <v>50127.468690697686</v>
      </c>
    </row>
    <row r="14" spans="1:6" x14ac:dyDescent="0.2">
      <c r="A14" s="80"/>
      <c r="B14" s="83"/>
      <c r="C14" s="3" t="s">
        <v>45</v>
      </c>
      <c r="D14" s="10">
        <v>46879.148262200928</v>
      </c>
      <c r="E14" s="10">
        <v>7031.8722393301387</v>
      </c>
      <c r="F14" s="2">
        <f t="shared" si="0"/>
        <v>53911.020501531064</v>
      </c>
    </row>
  </sheetData>
  <mergeCells count="8">
    <mergeCell ref="F1:F2"/>
    <mergeCell ref="A1:A2"/>
    <mergeCell ref="B1:B2"/>
    <mergeCell ref="A3:A14"/>
    <mergeCell ref="B3:B14"/>
    <mergeCell ref="C1:C2"/>
    <mergeCell ref="D1:D2"/>
    <mergeCell ref="E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ННЗТ</vt:lpstr>
      <vt:lpstr>НЭЗТ</vt:lpstr>
      <vt:lpstr>НАЗТ</vt:lpstr>
      <vt:lpstr>ОНЗТ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Алиса</cp:lastModifiedBy>
  <dcterms:created xsi:type="dcterms:W3CDTF">2025-11-26T21:55:46Z</dcterms:created>
  <dcterms:modified xsi:type="dcterms:W3CDTF">2026-03-05T16:31:22Z</dcterms:modified>
</cp:coreProperties>
</file>