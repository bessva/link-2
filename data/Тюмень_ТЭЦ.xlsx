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sa/Documents/линк/data/"/>
    </mc:Choice>
  </mc:AlternateContent>
  <xr:revisionPtr revIDLastSave="0" documentId="13_ncr:1_{8019C4A1-4318-C146-872C-B22F2567311A}" xr6:coauthVersionLast="47" xr6:coauthVersionMax="47" xr10:uidLastSave="{00000000-0000-0000-0000-000000000000}"/>
  <bookViews>
    <workbookView xWindow="0" yWindow="680" windowWidth="19200" windowHeight="11580" activeTab="1" xr2:uid="{81476DA1-7AD7-43E2-8F7E-1328A0B736A0}"/>
  </bookViews>
  <sheets>
    <sheet name="ННЗТ" sheetId="1" r:id="rId1"/>
    <sheet name="НЭЗТ" sheetId="2" r:id="rId2"/>
    <sheet name="НАЗТ" sheetId="3" r:id="rId3"/>
    <sheet name="ОНЗТ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3" i="4"/>
</calcChain>
</file>

<file path=xl/sharedStrings.xml><?xml version="1.0" encoding="utf-8"?>
<sst xmlns="http://schemas.openxmlformats.org/spreadsheetml/2006/main" count="132" uniqueCount="55">
  <si>
    <t>№ п/п</t>
  </si>
  <si>
    <t>Наименование ТЭС</t>
  </si>
  <si>
    <t>Вид топлива для создания запаса</t>
  </si>
  <si>
    <t>Месяц</t>
  </si>
  <si>
    <t>ННЗТ, тнт</t>
  </si>
  <si>
    <t>Тюменская ТЭЦ-1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</si>
  <si>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</si>
  <si>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</si>
  <si>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</si>
  <si>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</si>
  <si>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</si>
  <si>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</si>
  <si>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</si>
  <si>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</si>
  <si>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</si>
  <si>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</si>
  <si>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</si>
  <si>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</si>
  <si>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Природный газ</t>
  </si>
  <si>
    <t>Мазут</t>
  </si>
  <si>
    <t>Способ доставки основного топлива на ТЭС</t>
  </si>
  <si>
    <t>Месяц в котором поставка топлива ограничена</t>
  </si>
  <si>
    <t>Теплота сгорания натурального топлива по среднему значению сожженного топлива за 3 года или по данным последних замеров в случае отсутствия сжигания топлива в последние годы, ккал/кг</t>
  </si>
  <si>
    <t>Удельный расход условного топлива на отпуск электрической энергии при работе с установленной мощностью ТЭС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гут/кВт*ч</t>
  </si>
  <si>
    <t>Установленная электрическая мощность ТЭС (очереди оборудования ТЭС)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МВт</t>
  </si>
  <si>
    <t>Расход электрической энергии на собственные нужды тепловой электростанции за сутки, при условии функционирования с установленной плановой мощностью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млн.кВт*ч</t>
  </si>
  <si>
    <t>Количество условного топлива, необходимого для функционирования ТЭС с максимальной выработкой электрической энергии в течении одних суток, т.у.т.</t>
  </si>
  <si>
    <t>Удельный расход условного топлива на отпуск тепловой энергии при работе по максимальному среднесуточному отпуску тепловой энергии в расчетном месяце за последние 5 лет, кг/Гкал</t>
  </si>
  <si>
    <t>Максимальный среднесуточный отпуск тепловой энергии за предыдущие пять лет, тыс. Гкал.</t>
  </si>
  <si>
    <t>Количество условного топлива, необходимого для функционирования ТЭС с максимальным отпуском тепловой энергии в расчетном месяце за предыдущие 5 лет, т.у.т.</t>
  </si>
  <si>
    <t>Количество условного топлива, необходимого для функционирования ТЭС в расчетном месяце в течении одних суток с максимальным суточным отпуском тепловой энергии за последние 5 лет и максимальной выработкой электрической энергии, т.у.т.</t>
  </si>
  <si>
    <t>Количество суток, в течение которых обеспечивается работа ТЭС в режиме "выживания", сутки</t>
  </si>
  <si>
    <t>Базовая величина НЭЗТ, т.н.т.</t>
  </si>
  <si>
    <t>Коэффициент риска ТЭС</t>
  </si>
  <si>
    <t>Коэффициент, учитывающий категорию риска при возможном ограничении газоснабжения</t>
  </si>
  <si>
    <r>
      <t>Теплота сгорания газа, ккал/м</t>
    </r>
    <r>
      <rPr>
        <sz val="9"/>
        <rFont val="Calibri"/>
        <family val="2"/>
        <charset val="204"/>
      </rPr>
      <t>ᶟ</t>
    </r>
  </si>
  <si>
    <t>Теплота сгорания резервного топлива, ккал/кг</t>
  </si>
  <si>
    <t>Максимальный месячный объем ограничения газа в периоды снижения температуры за последние 8 лет, м3</t>
  </si>
  <si>
    <t>НЭЗТ, т.н.т.</t>
  </si>
  <si>
    <t>Количество суток в расчетном месяце</t>
  </si>
  <si>
    <t>Фактический среднемесячный расход топлива в расчетный месяц за предыдущие 3 года, т.н.т.</t>
  </si>
  <si>
    <t>Плановый полезный отпуск тепловой энергии, в соответствии со сводным прогнозным балансом, Гкал</t>
  </si>
  <si>
    <t>Плановая месячная выработка электрической энергии, в соответствии со сводным прогнозным балансом, млн кВт*ч</t>
  </si>
  <si>
    <t>Расход электроэнергии на собственные нужды ТЭС, млн.кВт*ч</t>
  </si>
  <si>
    <t>Удельный расход условного топлива на отпуск электрической энергии, гут/кВтч</t>
  </si>
  <si>
    <t>Удельный расход условного топлива на отпуск тепловой энергии, кг/Гкал</t>
  </si>
  <si>
    <t>НЭЗТ огр.пост, т.н.т.</t>
  </si>
  <si>
    <t>Транспортная доставка</t>
  </si>
  <si>
    <t>нет</t>
  </si>
  <si>
    <t>Максимальный суточный расход аварийного топлива для ПГУ/ГТУ, т.н.т/суток</t>
  </si>
  <si>
    <t>Максимальная продолжительность эксплуатации оборудования на аварийном топливе, суток</t>
  </si>
  <si>
    <t>НАЗТ б.в</t>
  </si>
  <si>
    <t>НАЗТ, т.н.т</t>
  </si>
  <si>
    <t>ННЗТ, т.н.т.</t>
  </si>
  <si>
    <t>ОНЗТ, т.н.т.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</si>
</sst>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name val="Tahoma"/>
      <family val="2"/>
      <charset val="204"/>
    </font>
    <font>
      <b/>
      <sz val="9"/>
      <color theme="1"/>
      <name val="Tahoma"/>
      <family val="2"/>
      <charset val="204"/>
    </font>
    <font>
      <b/>
      <sz val="9"/>
      <name val="Tahoma"/>
      <family val="2"/>
      <charset val="204"/>
    </font>
    <font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theme="0" tint="-0.249977111117893"/>
      </left>
      <right/>
      <top style="thin">
        <color indexed="22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49" fontId="3" fillId="0" borderId="0" applyBorder="0">
      <alignment vertical="top"/>
    </xf>
  </cellStyleXfs>
  <cellXfs count="72">
    <xf numFmtId="0" fontId="0" fillId="0" borderId="0" xfId="0"/>
    <xf numFmtId="4" fontId="3" fillId="2" borderId="1" xfId="0" applyNumberFormat="1" applyFont="1" applyFill="1" applyBorder="1" applyAlignment="1">
      <alignment horizontal="center" vertical="center"/>
    </xf>
    <xf numFmtId="3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1" applyAlignment="1">
      <alignment horizontal="center" vertical="center"/>
    </xf>
    <xf numFmtId="4" fontId="2" fillId="3" borderId="1" xfId="1" applyNumberFormat="1" applyFont="1" applyFill="1" applyBorder="1" applyAlignment="1" applyProtection="1">
      <alignment horizontal="center" vertical="center" wrapText="1"/>
      <protection locked="0"/>
    </xf>
    <xf numFmtId="4" fontId="3" fillId="2" borderId="12" xfId="1" applyNumberFormat="1" applyFont="1" applyFill="1" applyBorder="1" applyAlignment="1">
      <alignment horizontal="center" vertical="center" wrapText="1"/>
    </xf>
    <xf numFmtId="4" fontId="5" fillId="2" borderId="12" xfId="1" applyNumberFormat="1" applyFont="1" applyFill="1" applyBorder="1" applyAlignment="1">
      <alignment horizontal="center" vertical="center" wrapText="1"/>
    </xf>
    <xf numFmtId="3" fontId="3" fillId="2" borderId="12" xfId="1" applyNumberFormat="1" applyFont="1" applyFill="1" applyBorder="1" applyAlignment="1">
      <alignment horizontal="center" vertical="center" wrapText="1"/>
    </xf>
    <xf numFmtId="4" fontId="3" fillId="2" borderId="2" xfId="2" applyNumberFormat="1" applyFill="1" applyBorder="1" applyAlignment="1">
      <alignment horizontal="center" vertical="center"/>
    </xf>
    <xf numFmtId="4" fontId="5" fillId="2" borderId="2" xfId="2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4" fontId="3" fillId="2" borderId="7" xfId="1" applyNumberFormat="1" applyFont="1" applyFill="1" applyBorder="1" applyAlignment="1">
      <alignment horizontal="center" vertical="center"/>
    </xf>
    <xf numFmtId="4" fontId="3" fillId="2" borderId="8" xfId="1" applyNumberFormat="1" applyFont="1" applyFill="1" applyBorder="1" applyAlignment="1">
      <alignment horizontal="center" vertical="center"/>
    </xf>
    <xf numFmtId="3" fontId="3" fillId="2" borderId="7" xfId="1" applyNumberFormat="1" applyFont="1" applyFill="1" applyBorder="1" applyAlignment="1">
      <alignment horizontal="center" vertical="center"/>
    </xf>
    <xf numFmtId="3" fontId="3" fillId="2" borderId="8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4" fontId="3" fillId="2" borderId="9" xfId="1" applyNumberFormat="1" applyFont="1" applyFill="1" applyBorder="1" applyAlignment="1">
      <alignment horizontal="center" vertical="center"/>
    </xf>
    <xf numFmtId="4" fontId="3" fillId="2" borderId="6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 wrapText="1"/>
    </xf>
    <xf numFmtId="3" fontId="3" fillId="2" borderId="14" xfId="1" applyNumberFormat="1" applyFont="1" applyFill="1" applyBorder="1" applyAlignment="1">
      <alignment horizontal="center" vertical="center" wrapText="1"/>
    </xf>
    <xf numFmtId="3" fontId="3" fillId="2" borderId="3" xfId="1" applyNumberFormat="1" applyFont="1" applyFill="1" applyBorder="1" applyAlignment="1">
      <alignment horizontal="center" vertical="center" wrapText="1"/>
    </xf>
    <xf numFmtId="0" fontId="3" fillId="0" borderId="2" xfId="2" applyNumberFormat="1" applyBorder="1" applyAlignment="1">
      <alignment horizontal="center" vertical="center" wrapText="1"/>
    </xf>
    <xf numFmtId="0" fontId="3" fillId="0" borderId="3" xfId="2" applyNumberFormat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4" fontId="3" fillId="3" borderId="21" xfId="2" applyNumberFormat="1" applyFill="1" applyBorder="1" applyAlignment="1" applyProtection="1">
      <alignment horizontal="center" vertical="center" wrapText="1"/>
      <protection locked="0"/>
    </xf>
    <xf numFmtId="4" fontId="3" fillId="3" borderId="22" xfId="2" applyNumberFormat="1" applyFill="1" applyBorder="1" applyAlignment="1" applyProtection="1">
      <alignment horizontal="center" vertical="center" wrapText="1"/>
      <protection locked="0"/>
    </xf>
    <xf numFmtId="4" fontId="3" fillId="3" borderId="23" xfId="2" applyNumberFormat="1" applyFill="1" applyBorder="1" applyAlignment="1" applyProtection="1">
      <alignment horizontal="center" vertical="center" wrapText="1"/>
      <protection locked="0"/>
    </xf>
    <xf numFmtId="0" fontId="3" fillId="6" borderId="2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3" fontId="3" fillId="3" borderId="2" xfId="2" applyNumberFormat="1" applyFill="1" applyBorder="1" applyAlignment="1" applyProtection="1">
      <alignment horizontal="center" vertical="center" wrapText="1"/>
      <protection locked="0"/>
    </xf>
    <xf numFmtId="3" fontId="3" fillId="3" borderId="14" xfId="2" applyNumberFormat="1" applyFill="1" applyBorder="1" applyAlignment="1" applyProtection="1">
      <alignment horizontal="center" vertical="center" wrapText="1"/>
      <protection locked="0"/>
    </xf>
    <xf numFmtId="4" fontId="3" fillId="2" borderId="15" xfId="1" applyNumberFormat="1" applyFont="1" applyFill="1" applyBorder="1" applyAlignment="1">
      <alignment horizontal="center" vertical="center"/>
    </xf>
    <xf numFmtId="4" fontId="3" fillId="2" borderId="16" xfId="1" applyNumberFormat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5" borderId="13" xfId="1" applyFont="1" applyFill="1" applyBorder="1" applyAlignment="1">
      <alignment horizontal="center" vertical="center" wrapText="1"/>
    </xf>
    <xf numFmtId="0" fontId="2" fillId="5" borderId="17" xfId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center" vertical="center" wrapText="1"/>
    </xf>
    <xf numFmtId="4" fontId="3" fillId="3" borderId="7" xfId="2" applyNumberFormat="1" applyFill="1" applyBorder="1" applyAlignment="1" applyProtection="1">
      <alignment horizontal="center" vertical="center" wrapText="1"/>
      <protection locked="0"/>
    </xf>
    <xf numFmtId="4" fontId="3" fillId="3" borderId="8" xfId="2" applyNumberFormat="1" applyFill="1" applyBorder="1" applyAlignment="1" applyProtection="1">
      <alignment horizontal="center" vertical="center" wrapText="1"/>
      <protection locked="0"/>
    </xf>
    <xf numFmtId="4" fontId="3" fillId="3" borderId="18" xfId="2" applyNumberFormat="1" applyFill="1" applyBorder="1" applyAlignment="1" applyProtection="1">
      <alignment horizontal="center" vertical="center" wrapText="1"/>
      <protection locked="0"/>
    </xf>
    <xf numFmtId="4" fontId="3" fillId="2" borderId="17" xfId="1" applyNumberFormat="1" applyFont="1" applyFill="1" applyBorder="1" applyAlignment="1">
      <alignment horizontal="center" vertical="center"/>
    </xf>
    <xf numFmtId="4" fontId="3" fillId="2" borderId="18" xfId="1" applyNumberFormat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3" fontId="3" fillId="2" borderId="17" xfId="1" applyNumberFormat="1" applyFont="1" applyFill="1" applyBorder="1" applyAlignment="1">
      <alignment horizontal="center" vertical="center"/>
    </xf>
    <xf numFmtId="3" fontId="3" fillId="2" borderId="18" xfId="1" applyNumberFormat="1" applyFont="1" applyFill="1" applyBorder="1" applyAlignment="1">
      <alignment horizontal="center" vertical="center"/>
    </xf>
    <xf numFmtId="4" fontId="3" fillId="2" borderId="19" xfId="1" applyNumberFormat="1" applyFont="1" applyFill="1" applyBorder="1" applyAlignment="1">
      <alignment horizontal="center" vertical="center"/>
    </xf>
    <xf numFmtId="4" fontId="3" fillId="2" borderId="20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3" fontId="3" fillId="2" borderId="14" xfId="1" applyNumberFormat="1" applyFont="1" applyFill="1" applyBorder="1" applyAlignment="1">
      <alignment horizontal="center" vertical="center"/>
    </xf>
    <xf numFmtId="3" fontId="3" fillId="2" borderId="3" xfId="1" applyNumberFormat="1" applyFont="1" applyFill="1" applyBorder="1" applyAlignment="1">
      <alignment horizontal="center" vertical="center"/>
    </xf>
    <xf numFmtId="4" fontId="3" fillId="2" borderId="2" xfId="1" applyNumberFormat="1" applyFont="1" applyFill="1" applyBorder="1" applyAlignment="1">
      <alignment horizontal="center" vertical="center"/>
    </xf>
    <xf numFmtId="4" fontId="3" fillId="2" borderId="14" xfId="1" applyNumberFormat="1" applyFont="1" applyFill="1" applyBorder="1" applyAlignment="1">
      <alignment horizontal="center" vertical="center"/>
    </xf>
    <xf numFmtId="4" fontId="3" fillId="2" borderId="3" xfId="1" applyNumberFormat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2" xr:uid="{00000000-0005-0000-0000-000002000000}"/>
    <cellStyle name="Обычный 3" xfId="1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AAD9-3B63-4619-871D-939BEC43B9F1}">
  <dimension ref="A1:E26"/>
  <sheetViews>
    <sheetView zoomScale="138" workbookViewId="0">
      <selection activeCell="F7" sqref="F7"/>
    </sheetView>
  </sheetViews>
  <sheetFormatPr baseColWidth="10" defaultColWidth="8.83203125" defaultRowHeight="15" x14ac:dyDescent="0.2"/>
  <cols>
    <col min="2" max="3" width="15.6640625" customWidth="1"/>
  </cols>
  <sheetData>
    <row r="1" spans="1:5" x14ac:dyDescent="0.2">
      <c r="A1" s="18" t="s">
        <v>0</v>
      </c>
      <c r="B1" s="18" t="s">
        <v>1</v>
      </c>
      <c r="C1" s="18" t="s">
        <v>2</v>
      </c>
      <c r="D1" s="10" t="s">
        <v>3</v>
      </c>
      <c r="E1" s="12" t="s">
        <v>4</v>
      </c>
    </row>
    <row r="2" spans="1:5" x14ac:dyDescent="0.2">
      <c r="A2" s="18"/>
      <c r="B2" s="18"/>
      <c r="C2" s="18"/>
      <c r="D2" s="11"/>
      <c r="E2" s="13"/>
    </row>
    <row r="3" spans="1:5" x14ac:dyDescent="0.2">
      <c r="A3" s="16">
        <v>1</v>
      </c>
      <c r="B3" s="14" t="s">
        <v>5</v>
      </c>
      <c r="C3" s="19" t="s">
        <v>18</v>
      </c>
      <c r="D3" s="1" t="s">
        <v>6</v>
      </c>
      <c r="E3" s="2">
        <v>15790.490037677417</v>
      </c>
    </row>
    <row r="4" spans="1:5" x14ac:dyDescent="0.2">
      <c r="A4" s="17"/>
      <c r="B4" s="15"/>
      <c r="C4" s="20"/>
      <c r="D4" s="1" t="s">
        <v>7</v>
      </c>
      <c r="E4" s="2">
        <v>14561.412360403187</v>
      </c>
    </row>
    <row r="5" spans="1:5" x14ac:dyDescent="0.2">
      <c r="A5" s="17"/>
      <c r="B5" s="15"/>
      <c r="C5" s="20"/>
      <c r="D5" s="1" t="s">
        <v>8</v>
      </c>
      <c r="E5" s="2">
        <v>14743.215092168737</v>
      </c>
    </row>
    <row r="6" spans="1:5" x14ac:dyDescent="0.2">
      <c r="A6" s="17"/>
      <c r="B6" s="15"/>
      <c r="C6" s="20"/>
      <c r="D6" s="1" t="s">
        <v>9</v>
      </c>
      <c r="E6" s="2">
        <v>13374.136877948718</v>
      </c>
    </row>
    <row r="7" spans="1:5" x14ac:dyDescent="0.2">
      <c r="A7" s="17"/>
      <c r="B7" s="15"/>
      <c r="C7" s="20"/>
      <c r="D7" s="1" t="s">
        <v>10</v>
      </c>
      <c r="E7" s="2">
        <v>13815.262221975187</v>
      </c>
    </row>
    <row r="8" spans="1:5" x14ac:dyDescent="0.2">
      <c r="A8" s="17"/>
      <c r="B8" s="15"/>
      <c r="C8" s="20"/>
      <c r="D8" s="1" t="s">
        <v>11</v>
      </c>
      <c r="E8" s="2">
        <v>10113.366678153847</v>
      </c>
    </row>
    <row r="9" spans="1:5" x14ac:dyDescent="0.2">
      <c r="A9" s="17"/>
      <c r="B9" s="15"/>
      <c r="C9" s="20"/>
      <c r="D9" s="1" t="s">
        <v>12</v>
      </c>
      <c r="E9" s="2">
        <v>12883.583623980152</v>
      </c>
    </row>
    <row r="10" spans="1:5" x14ac:dyDescent="0.2">
      <c r="A10" s="17"/>
      <c r="B10" s="15"/>
      <c r="C10" s="20"/>
      <c r="D10" s="1" t="s">
        <v>13</v>
      </c>
      <c r="E10" s="2">
        <v>10810.525014431762</v>
      </c>
    </row>
    <row r="11" spans="1:5" x14ac:dyDescent="0.2">
      <c r="A11" s="17"/>
      <c r="B11" s="15"/>
      <c r="C11" s="20"/>
      <c r="D11" s="1" t="s">
        <v>14</v>
      </c>
      <c r="E11" s="2">
        <v>11562.52359876923</v>
      </c>
    </row>
    <row r="12" spans="1:5" x14ac:dyDescent="0.2">
      <c r="A12" s="17"/>
      <c r="B12" s="15"/>
      <c r="C12" s="20"/>
      <c r="D12" s="1" t="s">
        <v>15</v>
      </c>
      <c r="E12" s="2">
        <v>12602.034976079409</v>
      </c>
    </row>
    <row r="13" spans="1:5" x14ac:dyDescent="0.2">
      <c r="A13" s="17"/>
      <c r="B13" s="15"/>
      <c r="C13" s="20"/>
      <c r="D13" s="1" t="s">
        <v>16</v>
      </c>
      <c r="E13" s="2">
        <v>13112.375842461539</v>
      </c>
    </row>
    <row r="14" spans="1:5" x14ac:dyDescent="0.2">
      <c r="A14" s="17"/>
      <c r="B14" s="15"/>
      <c r="C14" s="20"/>
      <c r="D14" s="1" t="s">
        <v>17</v>
      </c>
      <c r="E14" s="2">
        <v>15702.441680397022</v>
      </c>
    </row>
    <row r="15" spans="1:5" x14ac:dyDescent="0.2">
      <c r="A15" s="17"/>
      <c r="B15" s="15"/>
      <c r="C15" s="19" t="s">
        <v>19</v>
      </c>
      <c r="D15" s="1" t="s">
        <v>6</v>
      </c>
      <c r="E15" s="3">
        <v>7000</v>
      </c>
    </row>
    <row r="16" spans="1:5" x14ac:dyDescent="0.2">
      <c r="A16" s="17"/>
      <c r="B16" s="15"/>
      <c r="C16" s="20"/>
      <c r="D16" s="1" t="s">
        <v>7</v>
      </c>
      <c r="E16" s="3">
        <v>6865</v>
      </c>
    </row>
    <row r="17" spans="1:5" x14ac:dyDescent="0.2">
      <c r="A17" s="17"/>
      <c r="B17" s="15"/>
      <c r="C17" s="20"/>
      <c r="D17" s="1" t="s">
        <v>8</v>
      </c>
      <c r="E17" s="3">
        <v>6190</v>
      </c>
    </row>
    <row r="18" spans="1:5" x14ac:dyDescent="0.2">
      <c r="A18" s="17"/>
      <c r="B18" s="15"/>
      <c r="C18" s="20"/>
      <c r="D18" s="1" t="s">
        <v>9</v>
      </c>
      <c r="E18" s="3">
        <v>4975</v>
      </c>
    </row>
    <row r="19" spans="1:5" x14ac:dyDescent="0.2">
      <c r="A19" s="17"/>
      <c r="B19" s="15"/>
      <c r="C19" s="20"/>
      <c r="D19" s="1" t="s">
        <v>10</v>
      </c>
      <c r="E19" s="3">
        <v>4075</v>
      </c>
    </row>
    <row r="20" spans="1:5" x14ac:dyDescent="0.2">
      <c r="A20" s="17"/>
      <c r="B20" s="15"/>
      <c r="C20" s="20"/>
      <c r="D20" s="1" t="s">
        <v>11</v>
      </c>
      <c r="E20" s="3">
        <v>3400</v>
      </c>
    </row>
    <row r="21" spans="1:5" x14ac:dyDescent="0.2">
      <c r="A21" s="17"/>
      <c r="B21" s="15"/>
      <c r="C21" s="20"/>
      <c r="D21" s="1" t="s">
        <v>12</v>
      </c>
      <c r="E21" s="3">
        <v>3175</v>
      </c>
    </row>
    <row r="22" spans="1:5" x14ac:dyDescent="0.2">
      <c r="A22" s="17"/>
      <c r="B22" s="15"/>
      <c r="C22" s="20"/>
      <c r="D22" s="1" t="s">
        <v>13</v>
      </c>
      <c r="E22" s="3">
        <v>3445</v>
      </c>
    </row>
    <row r="23" spans="1:5" x14ac:dyDescent="0.2">
      <c r="A23" s="17"/>
      <c r="B23" s="15"/>
      <c r="C23" s="20"/>
      <c r="D23" s="1" t="s">
        <v>14</v>
      </c>
      <c r="E23" s="3">
        <v>4210</v>
      </c>
    </row>
    <row r="24" spans="1:5" x14ac:dyDescent="0.2">
      <c r="A24" s="17"/>
      <c r="B24" s="15"/>
      <c r="C24" s="20"/>
      <c r="D24" s="1" t="s">
        <v>15</v>
      </c>
      <c r="E24" s="3">
        <v>5020</v>
      </c>
    </row>
    <row r="25" spans="1:5" x14ac:dyDescent="0.2">
      <c r="A25" s="17"/>
      <c r="B25" s="15"/>
      <c r="C25" s="20"/>
      <c r="D25" s="1" t="s">
        <v>16</v>
      </c>
      <c r="E25" s="3">
        <v>6235</v>
      </c>
    </row>
    <row r="26" spans="1:5" x14ac:dyDescent="0.2">
      <c r="A26" s="17"/>
      <c r="B26" s="15"/>
      <c r="C26" s="20"/>
      <c r="D26" s="1" t="s">
        <v>17</v>
      </c>
      <c r="E26" s="3">
        <v>6775</v>
      </c>
    </row>
  </sheetData>
  <mergeCells count="9">
    <mergeCell ref="D1:D2"/>
    <mergeCell ref="E1:E2"/>
    <mergeCell ref="B3:B26"/>
    <mergeCell ref="A3:A26"/>
    <mergeCell ref="A1:A2"/>
    <mergeCell ref="B1:B2"/>
    <mergeCell ref="C3:C14"/>
    <mergeCell ref="C1:C2"/>
    <mergeCell ref="C15:C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8A74-A09E-45EA-92CD-18A496DD26F0}">
  <dimension ref="A1:AD14"/>
  <sheetViews>
    <sheetView tabSelected="1" topLeftCell="M1" workbookViewId="0">
      <selection activeCell="K3" sqref="K3"/>
    </sheetView>
  </sheetViews>
  <sheetFormatPr baseColWidth="10" defaultColWidth="8.83203125" defaultRowHeight="15" x14ac:dyDescent="0.2"/>
  <cols>
    <col min="2" max="3" width="15.6640625" customWidth="1"/>
    <col min="4" max="4" width="20.6640625" customWidth="1"/>
    <col min="6" max="6" width="25.6640625" customWidth="1"/>
    <col min="7" max="7" width="80.6640625" customWidth="1"/>
    <col min="8" max="9" width="110.6640625" customWidth="1"/>
    <col min="10" max="10" width="120.6640625" customWidth="1"/>
    <col min="11" max="11" width="50.6640625" customWidth="1"/>
    <col min="12" max="12" width="60.6640625" customWidth="1"/>
    <col min="13" max="13" width="40.6640625" customWidth="1"/>
    <col min="14" max="14" width="50.6640625" customWidth="1"/>
    <col min="15" max="15" width="100.6640625" customWidth="1"/>
    <col min="16" max="16" width="40.6640625" customWidth="1"/>
    <col min="17" max="18" width="20.6640625" customWidth="1"/>
    <col min="19" max="19" width="50.6640625" customWidth="1"/>
    <col min="20" max="20" width="20.6640625" customWidth="1"/>
    <col min="21" max="21" width="30.6640625" customWidth="1"/>
    <col min="22" max="22" width="40.6640625" customWidth="1"/>
    <col min="24" max="24" width="30.6640625" customWidth="1"/>
    <col min="25" max="25" width="40.6640625" customWidth="1"/>
    <col min="26" max="26" width="70.6640625" customWidth="1"/>
    <col min="27" max="27" width="60.6640625" customWidth="1"/>
    <col min="28" max="28" width="40.6640625" customWidth="1"/>
    <col min="29" max="29" width="50.6640625" customWidth="1"/>
    <col min="30" max="30" width="40.6640625" customWidth="1"/>
  </cols>
  <sheetData>
    <row r="1" spans="1:30" ht="20" customHeight="1" x14ac:dyDescent="0.2">
      <c r="A1" s="30" t="s">
        <v>0</v>
      </c>
      <c r="B1" s="30" t="s">
        <v>1</v>
      </c>
      <c r="C1" s="30" t="s">
        <v>2</v>
      </c>
      <c r="D1" s="10" t="s">
        <v>20</v>
      </c>
      <c r="E1" s="30" t="s">
        <v>3</v>
      </c>
      <c r="F1" s="31" t="s">
        <v>21</v>
      </c>
      <c r="G1" s="28" t="s">
        <v>22</v>
      </c>
      <c r="H1" s="32" t="s">
        <v>23</v>
      </c>
      <c r="I1" s="32" t="s">
        <v>24</v>
      </c>
      <c r="J1" s="26" t="s">
        <v>25</v>
      </c>
      <c r="K1" s="29" t="s">
        <v>26</v>
      </c>
      <c r="L1" s="26" t="s">
        <v>27</v>
      </c>
      <c r="M1" s="26" t="s">
        <v>28</v>
      </c>
      <c r="N1" s="29" t="s">
        <v>29</v>
      </c>
      <c r="O1" s="41" t="s">
        <v>30</v>
      </c>
      <c r="P1" s="41" t="s">
        <v>31</v>
      </c>
      <c r="Q1" s="36" t="s">
        <v>32</v>
      </c>
      <c r="R1" s="36" t="s">
        <v>33</v>
      </c>
      <c r="S1" s="36" t="s">
        <v>34</v>
      </c>
      <c r="T1" s="36" t="s">
        <v>35</v>
      </c>
      <c r="U1" s="36" t="s">
        <v>36</v>
      </c>
      <c r="V1" s="26" t="s">
        <v>37</v>
      </c>
      <c r="W1" s="38" t="s">
        <v>38</v>
      </c>
      <c r="X1" s="36" t="s">
        <v>39</v>
      </c>
      <c r="Y1" s="36" t="s">
        <v>40</v>
      </c>
      <c r="Z1" s="24" t="s">
        <v>41</v>
      </c>
      <c r="AA1" s="24" t="s">
        <v>42</v>
      </c>
      <c r="AB1" s="24" t="s">
        <v>43</v>
      </c>
      <c r="AC1" s="28" t="s">
        <v>44</v>
      </c>
      <c r="AD1" s="28" t="s">
        <v>45</v>
      </c>
    </row>
    <row r="2" spans="1:30" ht="20" customHeight="1" x14ac:dyDescent="0.2">
      <c r="A2" s="30"/>
      <c r="B2" s="30"/>
      <c r="C2" s="30"/>
      <c r="D2" s="11"/>
      <c r="E2" s="31"/>
      <c r="F2" s="42"/>
      <c r="G2" s="29"/>
      <c r="H2" s="32"/>
      <c r="I2" s="32"/>
      <c r="J2" s="27"/>
      <c r="K2" s="40"/>
      <c r="L2" s="27"/>
      <c r="M2" s="27"/>
      <c r="N2" s="40"/>
      <c r="O2" s="41"/>
      <c r="P2" s="41"/>
      <c r="Q2" s="37"/>
      <c r="R2" s="37"/>
      <c r="S2" s="37"/>
      <c r="T2" s="37"/>
      <c r="U2" s="37"/>
      <c r="V2" s="27"/>
      <c r="W2" s="39"/>
      <c r="X2" s="37"/>
      <c r="Y2" s="37"/>
      <c r="Z2" s="25"/>
      <c r="AA2" s="25"/>
      <c r="AB2" s="25"/>
      <c r="AC2" s="28"/>
      <c r="AD2" s="28"/>
    </row>
    <row r="3" spans="1:30" x14ac:dyDescent="0.2">
      <c r="A3" s="16">
        <v>1</v>
      </c>
      <c r="B3" s="14" t="s">
        <v>5</v>
      </c>
      <c r="C3" s="45" t="s">
        <v>18</v>
      </c>
      <c r="D3" s="43" t="s">
        <v>47</v>
      </c>
      <c r="E3" s="1" t="s">
        <v>6</v>
      </c>
      <c r="F3" s="4" t="s">
        <v>48</v>
      </c>
      <c r="G3" s="33">
        <v>9760</v>
      </c>
      <c r="H3" s="4">
        <v>256.39999999999998</v>
      </c>
      <c r="I3" s="4">
        <v>737.58</v>
      </c>
      <c r="J3" s="4">
        <v>1.3670645161290322</v>
      </c>
      <c r="K3" s="5">
        <v>4188.2569460645154</v>
      </c>
      <c r="L3" s="4">
        <v>161</v>
      </c>
      <c r="M3" s="4">
        <v>19.521999999999998</v>
      </c>
      <c r="N3" s="5">
        <v>3143.0419999999999</v>
      </c>
      <c r="O3" s="5">
        <v>7331.2989460645149</v>
      </c>
      <c r="P3" s="21">
        <v>3</v>
      </c>
      <c r="Q3" s="5">
        <v>15774.311256901108</v>
      </c>
      <c r="R3" s="5">
        <v>0.15</v>
      </c>
      <c r="S3" s="5">
        <v>0.4</v>
      </c>
      <c r="T3" s="33">
        <v>8066</v>
      </c>
      <c r="U3" s="33">
        <v>9750</v>
      </c>
      <c r="V3" s="4">
        <v>0</v>
      </c>
      <c r="W3" s="6">
        <v>2366.146688535166</v>
      </c>
      <c r="X3" s="7">
        <v>31</v>
      </c>
      <c r="Y3" s="4">
        <v>135849.66666666666</v>
      </c>
      <c r="Z3" s="4">
        <v>235</v>
      </c>
      <c r="AA3" s="4">
        <v>315</v>
      </c>
      <c r="AB3" s="4">
        <v>17.3</v>
      </c>
      <c r="AC3" s="4">
        <v>275</v>
      </c>
      <c r="AD3" s="4">
        <v>160</v>
      </c>
    </row>
    <row r="4" spans="1:30" x14ac:dyDescent="0.2">
      <c r="A4" s="17"/>
      <c r="B4" s="15"/>
      <c r="C4" s="46"/>
      <c r="D4" s="44"/>
      <c r="E4" s="1" t="s">
        <v>7</v>
      </c>
      <c r="F4" s="4" t="s">
        <v>48</v>
      </c>
      <c r="G4" s="34"/>
      <c r="H4" s="4">
        <v>248.8</v>
      </c>
      <c r="I4" s="4">
        <v>736.38</v>
      </c>
      <c r="J4" s="4">
        <v>1.3411379310344829</v>
      </c>
      <c r="K4" s="5">
        <v>4063.3971387586207</v>
      </c>
      <c r="L4" s="4">
        <v>161.30000000000001</v>
      </c>
      <c r="M4" s="4">
        <v>16.722000000000001</v>
      </c>
      <c r="N4" s="5">
        <v>2697.2586000000006</v>
      </c>
      <c r="O4" s="5">
        <v>6760.6557387586217</v>
      </c>
      <c r="P4" s="22"/>
      <c r="Q4" s="5">
        <v>14546.492880525724</v>
      </c>
      <c r="R4" s="5">
        <v>0.15</v>
      </c>
      <c r="S4" s="5">
        <v>0.4</v>
      </c>
      <c r="T4" s="34"/>
      <c r="U4" s="34"/>
      <c r="V4" s="4">
        <v>0</v>
      </c>
      <c r="W4" s="6">
        <v>2181.9739320788585</v>
      </c>
      <c r="X4" s="7">
        <v>28</v>
      </c>
      <c r="Y4" s="4">
        <v>110814.66666666667</v>
      </c>
      <c r="Z4" s="4">
        <v>220</v>
      </c>
      <c r="AA4" s="4">
        <v>300</v>
      </c>
      <c r="AB4" s="4">
        <v>16.5</v>
      </c>
      <c r="AC4" s="4">
        <v>275</v>
      </c>
      <c r="AD4" s="4">
        <v>160</v>
      </c>
    </row>
    <row r="5" spans="1:30" x14ac:dyDescent="0.2">
      <c r="A5" s="17"/>
      <c r="B5" s="15"/>
      <c r="C5" s="46"/>
      <c r="D5" s="44"/>
      <c r="E5" s="1" t="s">
        <v>8</v>
      </c>
      <c r="F5" s="4" t="s">
        <v>48</v>
      </c>
      <c r="G5" s="34"/>
      <c r="H5" s="4">
        <v>262.39999999999998</v>
      </c>
      <c r="I5" s="4">
        <v>737.58</v>
      </c>
      <c r="J5" s="4">
        <v>1.3451290322580645</v>
      </c>
      <c r="K5" s="5">
        <v>4292.0219499354835</v>
      </c>
      <c r="L5" s="4">
        <v>161.80000000000001</v>
      </c>
      <c r="M5" s="4">
        <v>15.779</v>
      </c>
      <c r="N5" s="5">
        <v>2553.0422000000003</v>
      </c>
      <c r="O5" s="5">
        <v>6845.0641499354842</v>
      </c>
      <c r="P5" s="22"/>
      <c r="Q5" s="5">
        <v>14728.109339000532</v>
      </c>
      <c r="R5" s="5">
        <v>0.15</v>
      </c>
      <c r="S5" s="5">
        <v>0.4</v>
      </c>
      <c r="T5" s="34"/>
      <c r="U5" s="34"/>
      <c r="V5" s="4">
        <v>0</v>
      </c>
      <c r="W5" s="6">
        <v>2209.2164008500795</v>
      </c>
      <c r="X5" s="7">
        <v>31</v>
      </c>
      <c r="Y5" s="4">
        <v>118423.66666666667</v>
      </c>
      <c r="Z5" s="4">
        <v>195</v>
      </c>
      <c r="AA5" s="4">
        <v>285</v>
      </c>
      <c r="AB5" s="4">
        <v>15.7</v>
      </c>
      <c r="AC5" s="4">
        <v>275</v>
      </c>
      <c r="AD5" s="4">
        <v>160</v>
      </c>
    </row>
    <row r="6" spans="1:30" x14ac:dyDescent="0.2">
      <c r="A6" s="17"/>
      <c r="B6" s="15"/>
      <c r="C6" s="46"/>
      <c r="D6" s="44"/>
      <c r="E6" s="1" t="s">
        <v>9</v>
      </c>
      <c r="F6" s="4" t="s">
        <v>48</v>
      </c>
      <c r="G6" s="34"/>
      <c r="H6" s="4">
        <v>267.2</v>
      </c>
      <c r="I6" s="4">
        <v>737</v>
      </c>
      <c r="J6" s="4">
        <v>1.3465333333333334</v>
      </c>
      <c r="K6" s="5">
        <v>4366.4398933333332</v>
      </c>
      <c r="L6" s="4">
        <v>164.2</v>
      </c>
      <c r="M6" s="4">
        <v>11.224</v>
      </c>
      <c r="N6" s="5">
        <v>1842.9807999999998</v>
      </c>
      <c r="O6" s="5">
        <v>6209.4206933333335</v>
      </c>
      <c r="P6" s="22"/>
      <c r="Q6" s="5">
        <v>13360.433868852459</v>
      </c>
      <c r="R6" s="5">
        <v>0.15</v>
      </c>
      <c r="S6" s="5">
        <v>0.4</v>
      </c>
      <c r="T6" s="34"/>
      <c r="U6" s="34"/>
      <c r="V6" s="4">
        <v>0</v>
      </c>
      <c r="W6" s="6">
        <v>2004.0650803278686</v>
      </c>
      <c r="X6" s="7">
        <v>30</v>
      </c>
      <c r="Y6" s="4">
        <v>90736</v>
      </c>
      <c r="Z6" s="4">
        <v>150</v>
      </c>
      <c r="AA6" s="4">
        <v>260</v>
      </c>
      <c r="AB6" s="4">
        <v>14.3</v>
      </c>
      <c r="AC6" s="4">
        <v>275</v>
      </c>
      <c r="AD6" s="4">
        <v>160</v>
      </c>
    </row>
    <row r="7" spans="1:30" x14ac:dyDescent="0.2">
      <c r="A7" s="17"/>
      <c r="B7" s="15"/>
      <c r="C7" s="46"/>
      <c r="D7" s="44"/>
      <c r="E7" s="1" t="s">
        <v>10</v>
      </c>
      <c r="F7" s="4" t="s">
        <v>48</v>
      </c>
      <c r="G7" s="34"/>
      <c r="H7" s="4">
        <v>305.7</v>
      </c>
      <c r="I7" s="4">
        <v>734.19</v>
      </c>
      <c r="J7" s="4">
        <v>1.3225806451612903</v>
      </c>
      <c r="K7" s="5">
        <v>4982.2922887741934</v>
      </c>
      <c r="L7" s="4">
        <v>164.1</v>
      </c>
      <c r="M7" s="4">
        <v>8.7260000000000009</v>
      </c>
      <c r="N7" s="5">
        <v>1431.9366</v>
      </c>
      <c r="O7" s="5">
        <v>6414.2288887741934</v>
      </c>
      <c r="P7" s="22"/>
      <c r="Q7" s="5">
        <v>13801.107240190375</v>
      </c>
      <c r="R7" s="5">
        <v>0.15</v>
      </c>
      <c r="S7" s="5">
        <v>0.4</v>
      </c>
      <c r="T7" s="34"/>
      <c r="U7" s="34"/>
      <c r="V7" s="4">
        <v>0</v>
      </c>
      <c r="W7" s="6">
        <v>2070.166086028556</v>
      </c>
      <c r="X7" s="7">
        <v>31</v>
      </c>
      <c r="Y7" s="4">
        <v>90422.333333333328</v>
      </c>
      <c r="Z7" s="4">
        <v>85</v>
      </c>
      <c r="AA7" s="4">
        <v>240</v>
      </c>
      <c r="AB7" s="4">
        <v>13.2</v>
      </c>
      <c r="AC7" s="4">
        <v>275</v>
      </c>
      <c r="AD7" s="4">
        <v>160</v>
      </c>
    </row>
    <row r="8" spans="1:30" x14ac:dyDescent="0.2">
      <c r="A8" s="17"/>
      <c r="B8" s="15"/>
      <c r="C8" s="46"/>
      <c r="D8" s="44"/>
      <c r="E8" s="1" t="s">
        <v>11</v>
      </c>
      <c r="F8" s="4" t="s">
        <v>48</v>
      </c>
      <c r="G8" s="34"/>
      <c r="H8" s="4">
        <v>289.2</v>
      </c>
      <c r="I8" s="4">
        <v>579.69000000000005</v>
      </c>
      <c r="J8" s="4">
        <v>0.61023333333333329</v>
      </c>
      <c r="K8" s="5">
        <v>3847.0328720000002</v>
      </c>
      <c r="L8" s="4">
        <v>170.1</v>
      </c>
      <c r="M8" s="4">
        <v>4.9880000000000004</v>
      </c>
      <c r="N8" s="5">
        <v>848.4588</v>
      </c>
      <c r="O8" s="5">
        <v>4695.4916720000001</v>
      </c>
      <c r="P8" s="22"/>
      <c r="Q8" s="5">
        <v>10103.004622131148</v>
      </c>
      <c r="R8" s="5">
        <v>0.15</v>
      </c>
      <c r="S8" s="5">
        <v>0.4</v>
      </c>
      <c r="T8" s="34"/>
      <c r="U8" s="34"/>
      <c r="V8" s="4">
        <v>0</v>
      </c>
      <c r="W8" s="6">
        <v>1515.4506933196722</v>
      </c>
      <c r="X8" s="7">
        <v>30</v>
      </c>
      <c r="Y8" s="4">
        <v>81244.666666666672</v>
      </c>
      <c r="Z8" s="4">
        <v>45</v>
      </c>
      <c r="AA8" s="4">
        <v>230</v>
      </c>
      <c r="AB8" s="4">
        <v>12.7</v>
      </c>
      <c r="AC8" s="4">
        <v>275</v>
      </c>
      <c r="AD8" s="4">
        <v>160</v>
      </c>
    </row>
    <row r="9" spans="1:30" x14ac:dyDescent="0.2">
      <c r="A9" s="17"/>
      <c r="B9" s="15"/>
      <c r="C9" s="46"/>
      <c r="D9" s="44"/>
      <c r="E9" s="1" t="s">
        <v>12</v>
      </c>
      <c r="F9" s="4" t="s">
        <v>48</v>
      </c>
      <c r="G9" s="34"/>
      <c r="H9" s="4">
        <v>331.8</v>
      </c>
      <c r="I9" s="4">
        <v>743.39</v>
      </c>
      <c r="J9" s="4">
        <v>1.211225806451613</v>
      </c>
      <c r="K9" s="5">
        <v>5517.8785254193563</v>
      </c>
      <c r="L9" s="4">
        <v>177.9</v>
      </c>
      <c r="M9" s="4">
        <v>2.6070000000000002</v>
      </c>
      <c r="N9" s="5">
        <v>463.78530000000006</v>
      </c>
      <c r="O9" s="5">
        <v>5981.6638254193567</v>
      </c>
      <c r="P9" s="22"/>
      <c r="Q9" s="5">
        <v>12870.383230922796</v>
      </c>
      <c r="R9" s="5">
        <v>0.15</v>
      </c>
      <c r="S9" s="5">
        <v>0.4</v>
      </c>
      <c r="T9" s="34"/>
      <c r="U9" s="34"/>
      <c r="V9" s="4">
        <v>0</v>
      </c>
      <c r="W9" s="6">
        <v>1930.5574846384193</v>
      </c>
      <c r="X9" s="7">
        <v>31</v>
      </c>
      <c r="Y9" s="4">
        <v>76128.666666666672</v>
      </c>
      <c r="Z9" s="4">
        <v>35</v>
      </c>
      <c r="AA9" s="4">
        <v>225</v>
      </c>
      <c r="AB9" s="4">
        <v>12.4</v>
      </c>
      <c r="AC9" s="4">
        <v>275</v>
      </c>
      <c r="AD9" s="4">
        <v>160</v>
      </c>
    </row>
    <row r="10" spans="1:30" x14ac:dyDescent="0.2">
      <c r="A10" s="17"/>
      <c r="B10" s="15"/>
      <c r="C10" s="46"/>
      <c r="D10" s="44"/>
      <c r="E10" s="1" t="s">
        <v>13</v>
      </c>
      <c r="F10" s="4" t="s">
        <v>48</v>
      </c>
      <c r="G10" s="34"/>
      <c r="H10" s="4">
        <v>323.10000000000002</v>
      </c>
      <c r="I10" s="4">
        <v>650.48</v>
      </c>
      <c r="J10" s="4">
        <v>0.93854838709677413</v>
      </c>
      <c r="K10" s="5">
        <v>4740.8371281290329</v>
      </c>
      <c r="L10" s="4">
        <v>171.6</v>
      </c>
      <c r="M10" s="4">
        <v>1.6220000000000001</v>
      </c>
      <c r="N10" s="5">
        <v>278.33519999999999</v>
      </c>
      <c r="O10" s="5">
        <v>5019.1723281290324</v>
      </c>
      <c r="P10" s="22"/>
      <c r="Q10" s="5">
        <v>10799.448656835009</v>
      </c>
      <c r="R10" s="5">
        <v>0.15</v>
      </c>
      <c r="S10" s="5">
        <v>0.4</v>
      </c>
      <c r="T10" s="34"/>
      <c r="U10" s="34"/>
      <c r="V10" s="4">
        <v>0</v>
      </c>
      <c r="W10" s="6">
        <v>1619.9172985252515</v>
      </c>
      <c r="X10" s="7">
        <v>31</v>
      </c>
      <c r="Y10" s="4">
        <v>83619</v>
      </c>
      <c r="Z10" s="4">
        <v>40</v>
      </c>
      <c r="AA10" s="4">
        <v>228</v>
      </c>
      <c r="AB10" s="4">
        <v>12.5</v>
      </c>
      <c r="AC10" s="4">
        <v>275</v>
      </c>
      <c r="AD10" s="4">
        <v>160</v>
      </c>
    </row>
    <row r="11" spans="1:30" x14ac:dyDescent="0.2">
      <c r="A11" s="17"/>
      <c r="B11" s="15"/>
      <c r="C11" s="46"/>
      <c r="D11" s="44"/>
      <c r="E11" s="1" t="s">
        <v>14</v>
      </c>
      <c r="F11" s="4" t="s">
        <v>48</v>
      </c>
      <c r="G11" s="34"/>
      <c r="H11" s="4">
        <v>267.60000000000002</v>
      </c>
      <c r="I11" s="4">
        <v>740.67</v>
      </c>
      <c r="J11" s="4">
        <v>1.1331333333333333</v>
      </c>
      <c r="K11" s="5">
        <v>4453.6525279999996</v>
      </c>
      <c r="L11" s="4">
        <v>165.4</v>
      </c>
      <c r="M11" s="4">
        <v>5.53</v>
      </c>
      <c r="N11" s="5">
        <v>914.66200000000003</v>
      </c>
      <c r="O11" s="5">
        <v>5368.3145279999999</v>
      </c>
      <c r="P11" s="22"/>
      <c r="Q11" s="5">
        <v>11550.676750819672</v>
      </c>
      <c r="R11" s="5">
        <v>0.15</v>
      </c>
      <c r="S11" s="5">
        <v>0.4</v>
      </c>
      <c r="T11" s="34"/>
      <c r="U11" s="34"/>
      <c r="V11" s="4">
        <v>0</v>
      </c>
      <c r="W11" s="6">
        <v>1732.6015126229506</v>
      </c>
      <c r="X11" s="7">
        <v>30</v>
      </c>
      <c r="Y11" s="4">
        <v>106089</v>
      </c>
      <c r="Z11" s="4">
        <v>75</v>
      </c>
      <c r="AA11" s="4">
        <v>235</v>
      </c>
      <c r="AB11" s="4">
        <v>12.9</v>
      </c>
      <c r="AC11" s="4">
        <v>275</v>
      </c>
      <c r="AD11" s="4">
        <v>160</v>
      </c>
    </row>
    <row r="12" spans="1:30" x14ac:dyDescent="0.2">
      <c r="A12" s="17"/>
      <c r="B12" s="15"/>
      <c r="C12" s="46"/>
      <c r="D12" s="44"/>
      <c r="E12" s="1" t="s">
        <v>15</v>
      </c>
      <c r="F12" s="4" t="s">
        <v>48</v>
      </c>
      <c r="G12" s="34"/>
      <c r="H12" s="4">
        <v>257</v>
      </c>
      <c r="I12" s="4">
        <v>743.39</v>
      </c>
      <c r="J12" s="4">
        <v>1.2449677419354839</v>
      </c>
      <c r="K12" s="5">
        <v>4265.2728103225818</v>
      </c>
      <c r="L12" s="4">
        <v>162.80000000000001</v>
      </c>
      <c r="M12" s="4">
        <v>9.74</v>
      </c>
      <c r="N12" s="5">
        <v>1585.6720000000003</v>
      </c>
      <c r="O12" s="5">
        <v>5850.9448103225823</v>
      </c>
      <c r="P12" s="22"/>
      <c r="Q12" s="5">
        <v>12589.123054997361</v>
      </c>
      <c r="R12" s="5">
        <v>0.15</v>
      </c>
      <c r="S12" s="5">
        <v>0.4</v>
      </c>
      <c r="T12" s="34"/>
      <c r="U12" s="34"/>
      <c r="V12" s="4">
        <v>0</v>
      </c>
      <c r="W12" s="6">
        <v>1888.3684582496039</v>
      </c>
      <c r="X12" s="7">
        <v>31</v>
      </c>
      <c r="Y12" s="4">
        <v>117425</v>
      </c>
      <c r="Z12" s="4">
        <v>140</v>
      </c>
      <c r="AA12" s="4">
        <v>255</v>
      </c>
      <c r="AB12" s="4">
        <v>14</v>
      </c>
      <c r="AC12" s="4">
        <v>275</v>
      </c>
      <c r="AD12" s="4">
        <v>160</v>
      </c>
    </row>
    <row r="13" spans="1:30" x14ac:dyDescent="0.2">
      <c r="A13" s="17"/>
      <c r="B13" s="15"/>
      <c r="C13" s="46"/>
      <c r="D13" s="44"/>
      <c r="E13" s="1" t="s">
        <v>16</v>
      </c>
      <c r="F13" s="4" t="s">
        <v>48</v>
      </c>
      <c r="G13" s="34"/>
      <c r="H13" s="4">
        <v>245.2</v>
      </c>
      <c r="I13" s="4">
        <v>643.83000000000004</v>
      </c>
      <c r="J13" s="4">
        <v>1.2534999999999998</v>
      </c>
      <c r="K13" s="5">
        <v>3481.4525840000006</v>
      </c>
      <c r="L13" s="4">
        <v>161.80000000000001</v>
      </c>
      <c r="M13" s="4">
        <v>16.109000000000002</v>
      </c>
      <c r="N13" s="5">
        <v>2606.4362000000006</v>
      </c>
      <c r="O13" s="5">
        <v>6087.8887840000007</v>
      </c>
      <c r="P13" s="22"/>
      <c r="Q13" s="5">
        <v>13098.94103114754</v>
      </c>
      <c r="R13" s="5">
        <v>0.15</v>
      </c>
      <c r="S13" s="5">
        <v>0.4</v>
      </c>
      <c r="T13" s="34"/>
      <c r="U13" s="34"/>
      <c r="V13" s="4">
        <v>0</v>
      </c>
      <c r="W13" s="6">
        <v>1964.8411546721309</v>
      </c>
      <c r="X13" s="7">
        <v>30</v>
      </c>
      <c r="Y13" s="4">
        <v>116950.66666666667</v>
      </c>
      <c r="Z13" s="4">
        <v>180</v>
      </c>
      <c r="AA13" s="4">
        <v>275</v>
      </c>
      <c r="AB13" s="4">
        <v>15.1</v>
      </c>
      <c r="AC13" s="4">
        <v>275</v>
      </c>
      <c r="AD13" s="4">
        <v>160</v>
      </c>
    </row>
    <row r="14" spans="1:30" x14ac:dyDescent="0.2">
      <c r="A14" s="17"/>
      <c r="B14" s="15"/>
      <c r="C14" s="46"/>
      <c r="D14" s="44"/>
      <c r="E14" s="1" t="s">
        <v>17</v>
      </c>
      <c r="F14" s="4" t="s">
        <v>48</v>
      </c>
      <c r="G14" s="35"/>
      <c r="H14" s="4">
        <v>259</v>
      </c>
      <c r="I14" s="4">
        <v>755</v>
      </c>
      <c r="J14" s="4">
        <v>1.3973225806451612</v>
      </c>
      <c r="K14" s="5">
        <v>4331.1734516129027</v>
      </c>
      <c r="L14" s="4">
        <v>161.1</v>
      </c>
      <c r="M14" s="4">
        <v>18.369</v>
      </c>
      <c r="N14" s="5">
        <v>2959.2458999999999</v>
      </c>
      <c r="O14" s="5">
        <v>7290.4193516129026</v>
      </c>
      <c r="P14" s="23"/>
      <c r="Q14" s="5">
        <v>15686.353113101533</v>
      </c>
      <c r="R14" s="5">
        <v>0.15</v>
      </c>
      <c r="S14" s="5">
        <v>0.4</v>
      </c>
      <c r="T14" s="35"/>
      <c r="U14" s="35"/>
      <c r="V14" s="4">
        <v>0</v>
      </c>
      <c r="W14" s="6">
        <v>2352.9529669652297</v>
      </c>
      <c r="X14" s="7">
        <v>31</v>
      </c>
      <c r="Y14" s="4">
        <v>139236</v>
      </c>
      <c r="Z14" s="4">
        <v>225</v>
      </c>
      <c r="AA14" s="4">
        <v>300</v>
      </c>
      <c r="AB14" s="4">
        <v>16.8</v>
      </c>
      <c r="AC14" s="4">
        <v>275</v>
      </c>
      <c r="AD14" s="4">
        <v>160</v>
      </c>
    </row>
  </sheetData>
  <mergeCells count="38">
    <mergeCell ref="C3:C14"/>
    <mergeCell ref="B3:B14"/>
    <mergeCell ref="A3:A14"/>
    <mergeCell ref="A1:A2"/>
    <mergeCell ref="B1:B2"/>
    <mergeCell ref="AC1:AC2"/>
    <mergeCell ref="AB1:AB2"/>
    <mergeCell ref="AD1:AD2"/>
    <mergeCell ref="W1:W2"/>
    <mergeCell ref="M1:M2"/>
    <mergeCell ref="N1:N2"/>
    <mergeCell ref="O1:O2"/>
    <mergeCell ref="P1:P2"/>
    <mergeCell ref="Q1:Q2"/>
    <mergeCell ref="R1:R2"/>
    <mergeCell ref="C1:C2"/>
    <mergeCell ref="H1:H2"/>
    <mergeCell ref="T3:T14"/>
    <mergeCell ref="U3:U14"/>
    <mergeCell ref="X1:X2"/>
    <mergeCell ref="S1:S2"/>
    <mergeCell ref="T1:T2"/>
    <mergeCell ref="U1:U2"/>
    <mergeCell ref="V1:V2"/>
    <mergeCell ref="I1:I2"/>
    <mergeCell ref="J1:J2"/>
    <mergeCell ref="K1:K2"/>
    <mergeCell ref="F1:F2"/>
    <mergeCell ref="D3:D14"/>
    <mergeCell ref="D1:D2"/>
    <mergeCell ref="G3:G14"/>
    <mergeCell ref="P3:P14"/>
    <mergeCell ref="AA1:AA2"/>
    <mergeCell ref="L1:L2"/>
    <mergeCell ref="G1:G2"/>
    <mergeCell ref="E1:E2"/>
    <mergeCell ref="Z1:Z2"/>
    <mergeCell ref="Y1: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6FE2-4998-4414-BC91-3B8D065F30C1}">
  <dimension ref="A1:I14"/>
  <sheetViews>
    <sheetView workbookViewId="0">
      <selection activeCell="D3" sqref="D3:D14"/>
    </sheetView>
  </sheetViews>
  <sheetFormatPr baseColWidth="10" defaultColWidth="8.83203125" defaultRowHeight="15" x14ac:dyDescent="0.2"/>
  <cols>
    <col min="2" max="3" width="15.6640625" customWidth="1"/>
    <col min="5" max="6" width="50.6640625" customWidth="1"/>
    <col min="8" max="8" width="15.6640625" customWidth="1"/>
  </cols>
  <sheetData>
    <row r="1" spans="1:9" x14ac:dyDescent="0.2">
      <c r="A1" s="49" t="s">
        <v>0</v>
      </c>
      <c r="B1" s="49" t="s">
        <v>1</v>
      </c>
      <c r="C1" s="49" t="s">
        <v>2</v>
      </c>
      <c r="D1" s="49" t="s">
        <v>3</v>
      </c>
      <c r="E1" s="49" t="s">
        <v>49</v>
      </c>
      <c r="F1" s="51" t="s">
        <v>50</v>
      </c>
      <c r="G1" s="58" t="s">
        <v>51</v>
      </c>
      <c r="H1" s="10" t="s">
        <v>33</v>
      </c>
      <c r="I1" s="47" t="s">
        <v>52</v>
      </c>
    </row>
    <row r="2" spans="1:9" x14ac:dyDescent="0.2">
      <c r="A2" s="50"/>
      <c r="B2" s="50"/>
      <c r="C2" s="50"/>
      <c r="D2" s="50"/>
      <c r="E2" s="50"/>
      <c r="F2" s="52"/>
      <c r="G2" s="59"/>
      <c r="H2" s="11"/>
      <c r="I2" s="48"/>
    </row>
    <row r="3" spans="1:9" x14ac:dyDescent="0.2">
      <c r="A3" s="60">
        <v>1</v>
      </c>
      <c r="B3" s="62" t="s">
        <v>5</v>
      </c>
      <c r="C3" s="14" t="s">
        <v>19</v>
      </c>
      <c r="D3" s="1" t="s">
        <v>6</v>
      </c>
      <c r="E3" s="53">
        <v>850</v>
      </c>
      <c r="F3" s="53">
        <v>2</v>
      </c>
      <c r="G3" s="56">
        <v>1700</v>
      </c>
      <c r="H3" s="8">
        <v>0.15</v>
      </c>
      <c r="I3" s="9">
        <v>1700</v>
      </c>
    </row>
    <row r="4" spans="1:9" x14ac:dyDescent="0.2">
      <c r="A4" s="17"/>
      <c r="B4" s="20"/>
      <c r="C4" s="15"/>
      <c r="D4" s="1" t="s">
        <v>7</v>
      </c>
      <c r="E4" s="54"/>
      <c r="F4" s="54"/>
      <c r="G4" s="15"/>
      <c r="H4" s="8">
        <v>0.15</v>
      </c>
      <c r="I4" s="9">
        <v>1700</v>
      </c>
    </row>
    <row r="5" spans="1:9" x14ac:dyDescent="0.2">
      <c r="A5" s="17"/>
      <c r="B5" s="20"/>
      <c r="C5" s="15"/>
      <c r="D5" s="1" t="s">
        <v>8</v>
      </c>
      <c r="E5" s="54"/>
      <c r="F5" s="54"/>
      <c r="G5" s="15"/>
      <c r="H5" s="8">
        <v>0.15</v>
      </c>
      <c r="I5" s="9">
        <v>1615</v>
      </c>
    </row>
    <row r="6" spans="1:9" x14ac:dyDescent="0.2">
      <c r="A6" s="17"/>
      <c r="B6" s="20"/>
      <c r="C6" s="15"/>
      <c r="D6" s="1" t="s">
        <v>9</v>
      </c>
      <c r="E6" s="54"/>
      <c r="F6" s="54"/>
      <c r="G6" s="15"/>
      <c r="H6" s="8">
        <v>0.15</v>
      </c>
      <c r="I6" s="9">
        <v>1530</v>
      </c>
    </row>
    <row r="7" spans="1:9" x14ac:dyDescent="0.2">
      <c r="A7" s="17"/>
      <c r="B7" s="20"/>
      <c r="C7" s="15"/>
      <c r="D7" s="1" t="s">
        <v>10</v>
      </c>
      <c r="E7" s="54"/>
      <c r="F7" s="54"/>
      <c r="G7" s="15"/>
      <c r="H7" s="8">
        <v>0.15</v>
      </c>
      <c r="I7" s="9">
        <v>1445</v>
      </c>
    </row>
    <row r="8" spans="1:9" x14ac:dyDescent="0.2">
      <c r="A8" s="17"/>
      <c r="B8" s="20"/>
      <c r="C8" s="15"/>
      <c r="D8" s="1" t="s">
        <v>11</v>
      </c>
      <c r="E8" s="54"/>
      <c r="F8" s="54"/>
      <c r="G8" s="15"/>
      <c r="H8" s="8">
        <v>0.15</v>
      </c>
      <c r="I8" s="9">
        <v>1360</v>
      </c>
    </row>
    <row r="9" spans="1:9" x14ac:dyDescent="0.2">
      <c r="A9" s="17"/>
      <c r="B9" s="20"/>
      <c r="C9" s="15"/>
      <c r="D9" s="1" t="s">
        <v>12</v>
      </c>
      <c r="E9" s="54"/>
      <c r="F9" s="54"/>
      <c r="G9" s="15"/>
      <c r="H9" s="8">
        <v>0.15</v>
      </c>
      <c r="I9" s="9">
        <v>1360</v>
      </c>
    </row>
    <row r="10" spans="1:9" x14ac:dyDescent="0.2">
      <c r="A10" s="17"/>
      <c r="B10" s="20"/>
      <c r="C10" s="15"/>
      <c r="D10" s="1" t="s">
        <v>13</v>
      </c>
      <c r="E10" s="54"/>
      <c r="F10" s="54"/>
      <c r="G10" s="15"/>
      <c r="H10" s="8">
        <v>0.15</v>
      </c>
      <c r="I10" s="9">
        <v>1300</v>
      </c>
    </row>
    <row r="11" spans="1:9" x14ac:dyDescent="0.2">
      <c r="A11" s="17"/>
      <c r="B11" s="20"/>
      <c r="C11" s="15"/>
      <c r="D11" s="1" t="s">
        <v>14</v>
      </c>
      <c r="E11" s="54"/>
      <c r="F11" s="54"/>
      <c r="G11" s="15"/>
      <c r="H11" s="8">
        <v>0.15</v>
      </c>
      <c r="I11" s="9">
        <v>1445</v>
      </c>
    </row>
    <row r="12" spans="1:9" x14ac:dyDescent="0.2">
      <c r="A12" s="17"/>
      <c r="B12" s="20"/>
      <c r="C12" s="15"/>
      <c r="D12" s="1" t="s">
        <v>15</v>
      </c>
      <c r="E12" s="54"/>
      <c r="F12" s="54"/>
      <c r="G12" s="15"/>
      <c r="H12" s="8">
        <v>0.15</v>
      </c>
      <c r="I12" s="9">
        <v>1530</v>
      </c>
    </row>
    <row r="13" spans="1:9" x14ac:dyDescent="0.2">
      <c r="A13" s="17"/>
      <c r="B13" s="20"/>
      <c r="C13" s="15"/>
      <c r="D13" s="1" t="s">
        <v>16</v>
      </c>
      <c r="E13" s="54"/>
      <c r="F13" s="54"/>
      <c r="G13" s="15"/>
      <c r="H13" s="8">
        <v>0.15</v>
      </c>
      <c r="I13" s="9">
        <v>1615</v>
      </c>
    </row>
    <row r="14" spans="1:9" x14ac:dyDescent="0.2">
      <c r="A14" s="61"/>
      <c r="B14" s="63"/>
      <c r="C14" s="57"/>
      <c r="D14" s="1" t="s">
        <v>17</v>
      </c>
      <c r="E14" s="55"/>
      <c r="F14" s="55"/>
      <c r="G14" s="57"/>
      <c r="H14" s="8">
        <v>0.15</v>
      </c>
      <c r="I14" s="9">
        <v>1700</v>
      </c>
    </row>
  </sheetData>
  <mergeCells count="15">
    <mergeCell ref="D1:D2"/>
    <mergeCell ref="E3:E14"/>
    <mergeCell ref="G1:G2"/>
    <mergeCell ref="A1:A2"/>
    <mergeCell ref="B1:B2"/>
    <mergeCell ref="C1:C2"/>
    <mergeCell ref="A3:A14"/>
    <mergeCell ref="B3:B14"/>
    <mergeCell ref="C3:C14"/>
    <mergeCell ref="H1:H2"/>
    <mergeCell ref="I1:I2"/>
    <mergeCell ref="E1:E2"/>
    <mergeCell ref="F1:F2"/>
    <mergeCell ref="F3:F14"/>
    <mergeCell ref="G3:G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59A6-640B-4A28-AF77-525809822A04}">
  <dimension ref="A1:G14"/>
  <sheetViews>
    <sheetView workbookViewId="0">
      <selection activeCell="G3" sqref="G3:G14"/>
    </sheetView>
  </sheetViews>
  <sheetFormatPr baseColWidth="10" defaultColWidth="8.83203125" defaultRowHeight="15" x14ac:dyDescent="0.2"/>
  <cols>
    <col min="2" max="2" width="15.6640625" customWidth="1"/>
    <col min="7" max="7" width="9.1640625" bestFit="1" customWidth="1"/>
  </cols>
  <sheetData>
    <row r="1" spans="1:7" x14ac:dyDescent="0.2">
      <c r="A1" s="18" t="s">
        <v>0</v>
      </c>
      <c r="B1" s="10" t="s">
        <v>1</v>
      </c>
      <c r="C1" s="10" t="s">
        <v>3</v>
      </c>
      <c r="D1" s="10" t="s">
        <v>53</v>
      </c>
      <c r="E1" s="10" t="s">
        <v>38</v>
      </c>
      <c r="F1" s="10" t="s">
        <v>46</v>
      </c>
      <c r="G1" s="70" t="s">
        <v>54</v>
      </c>
    </row>
    <row r="2" spans="1:7" x14ac:dyDescent="0.2">
      <c r="A2" s="18"/>
      <c r="B2" s="11"/>
      <c r="C2" s="11"/>
      <c r="D2" s="11"/>
      <c r="E2" s="11"/>
      <c r="F2" s="11"/>
      <c r="G2" s="71"/>
    </row>
    <row r="3" spans="1:7" x14ac:dyDescent="0.2">
      <c r="A3" s="64">
        <v>1</v>
      </c>
      <c r="B3" s="67" t="s">
        <v>5</v>
      </c>
      <c r="C3" s="1" t="s">
        <v>6</v>
      </c>
      <c r="D3" s="8">
        <v>15790.490037677417</v>
      </c>
      <c r="E3" s="8">
        <v>2366.146688535166</v>
      </c>
      <c r="F3" s="8">
        <v>2366.146688535166</v>
      </c>
      <c r="G3" s="9">
        <f>SUM((D3,E3))</f>
        <v>18156.636726212582</v>
      </c>
    </row>
    <row r="4" spans="1:7" x14ac:dyDescent="0.2">
      <c r="A4" s="65"/>
      <c r="B4" s="68"/>
      <c r="C4" s="1" t="s">
        <v>7</v>
      </c>
      <c r="D4" s="8">
        <v>14561.412360403187</v>
      </c>
      <c r="E4" s="8">
        <v>2181.9739320788585</v>
      </c>
      <c r="F4" s="8">
        <v>0</v>
      </c>
      <c r="G4" s="9">
        <f>SUM((D4,E4))</f>
        <v>16743.386292482046</v>
      </c>
    </row>
    <row r="5" spans="1:7" x14ac:dyDescent="0.2">
      <c r="A5" s="65"/>
      <c r="B5" s="68"/>
      <c r="C5" s="1" t="s">
        <v>8</v>
      </c>
      <c r="D5" s="8">
        <v>14743.215092168737</v>
      </c>
      <c r="E5" s="8">
        <v>2209.2164008500795</v>
      </c>
      <c r="F5" s="8">
        <v>0</v>
      </c>
      <c r="G5" s="9">
        <f>SUM((D5,E5))</f>
        <v>16952.431493018816</v>
      </c>
    </row>
    <row r="6" spans="1:7" x14ac:dyDescent="0.2">
      <c r="A6" s="65"/>
      <c r="B6" s="68"/>
      <c r="C6" s="1" t="s">
        <v>9</v>
      </c>
      <c r="D6" s="8">
        <v>13374.136877948718</v>
      </c>
      <c r="E6" s="8">
        <v>2004.0650803278686</v>
      </c>
      <c r="F6" s="8">
        <v>0</v>
      </c>
      <c r="G6" s="9">
        <f>SUM((D6,E6))</f>
        <v>15378.201958276586</v>
      </c>
    </row>
    <row r="7" spans="1:7" x14ac:dyDescent="0.2">
      <c r="A7" s="65"/>
      <c r="B7" s="68"/>
      <c r="C7" s="1" t="s">
        <v>10</v>
      </c>
      <c r="D7" s="8">
        <v>13815.262221975187</v>
      </c>
      <c r="E7" s="8">
        <v>2070.166086028556</v>
      </c>
      <c r="F7" s="8">
        <v>0</v>
      </c>
      <c r="G7" s="9">
        <f>SUM((D7,E7))</f>
        <v>15885.428308003742</v>
      </c>
    </row>
    <row r="8" spans="1:7" x14ac:dyDescent="0.2">
      <c r="A8" s="65"/>
      <c r="B8" s="68"/>
      <c r="C8" s="1" t="s">
        <v>11</v>
      </c>
      <c r="D8" s="8">
        <v>10113.366678153847</v>
      </c>
      <c r="E8" s="8">
        <v>1515.4506933196722</v>
      </c>
      <c r="F8" s="8">
        <v>0</v>
      </c>
      <c r="G8" s="9">
        <f>SUM((D8,E8))</f>
        <v>11628.817371473519</v>
      </c>
    </row>
    <row r="9" spans="1:7" x14ac:dyDescent="0.2">
      <c r="A9" s="65"/>
      <c r="B9" s="68"/>
      <c r="C9" s="1" t="s">
        <v>12</v>
      </c>
      <c r="D9" s="8">
        <v>12883.583623980152</v>
      </c>
      <c r="E9" s="8">
        <v>1930.5574846384193</v>
      </c>
      <c r="F9" s="8">
        <v>0</v>
      </c>
      <c r="G9" s="9">
        <f>SUM((D9,E9))</f>
        <v>14814.141108618571</v>
      </c>
    </row>
    <row r="10" spans="1:7" x14ac:dyDescent="0.2">
      <c r="A10" s="65"/>
      <c r="B10" s="68"/>
      <c r="C10" s="1" t="s">
        <v>13</v>
      </c>
      <c r="D10" s="8">
        <v>10810.525014431762</v>
      </c>
      <c r="E10" s="8">
        <v>1619.9172985252515</v>
      </c>
      <c r="F10" s="8">
        <v>0</v>
      </c>
      <c r="G10" s="9">
        <f>SUM((D10,E10))</f>
        <v>12430.442312957013</v>
      </c>
    </row>
    <row r="11" spans="1:7" x14ac:dyDescent="0.2">
      <c r="A11" s="65"/>
      <c r="B11" s="68"/>
      <c r="C11" s="1" t="s">
        <v>14</v>
      </c>
      <c r="D11" s="8">
        <v>11562.52359876923</v>
      </c>
      <c r="E11" s="8">
        <v>1732.6015126229506</v>
      </c>
      <c r="F11" s="8">
        <v>0</v>
      </c>
      <c r="G11" s="9">
        <f>SUM((D11,E11))</f>
        <v>13295.125111392181</v>
      </c>
    </row>
    <row r="12" spans="1:7" x14ac:dyDescent="0.2">
      <c r="A12" s="65"/>
      <c r="B12" s="68"/>
      <c r="C12" s="1" t="s">
        <v>15</v>
      </c>
      <c r="D12" s="8">
        <v>12602.034976079409</v>
      </c>
      <c r="E12" s="8">
        <v>1888.3684582496039</v>
      </c>
      <c r="F12" s="8">
        <v>0</v>
      </c>
      <c r="G12" s="9">
        <f>SUM((D12,E12))</f>
        <v>14490.403434329013</v>
      </c>
    </row>
    <row r="13" spans="1:7" x14ac:dyDescent="0.2">
      <c r="A13" s="65"/>
      <c r="B13" s="68"/>
      <c r="C13" s="1" t="s">
        <v>16</v>
      </c>
      <c r="D13" s="8">
        <v>13112.375842461539</v>
      </c>
      <c r="E13" s="8">
        <v>1964.8411546721309</v>
      </c>
      <c r="F13" s="8">
        <v>0</v>
      </c>
      <c r="G13" s="9">
        <f>SUM((D13,E13))</f>
        <v>15077.21699713367</v>
      </c>
    </row>
    <row r="14" spans="1:7" x14ac:dyDescent="0.2">
      <c r="A14" s="66"/>
      <c r="B14" s="69"/>
      <c r="C14" s="1" t="s">
        <v>17</v>
      </c>
      <c r="D14" s="8">
        <v>15702.441680397022</v>
      </c>
      <c r="E14" s="8">
        <v>2352.9529669652297</v>
      </c>
      <c r="F14" s="8">
        <v>0</v>
      </c>
      <c r="G14" s="9">
        <f>SUM((D14,E14))</f>
        <v>18055.394647362253</v>
      </c>
    </row>
  </sheetData>
  <mergeCells count="9">
    <mergeCell ref="F1:F2"/>
    <mergeCell ref="G1:G2"/>
    <mergeCell ref="A1:A2"/>
    <mergeCell ref="B1:B2"/>
    <mergeCell ref="A3:A14"/>
    <mergeCell ref="B3:B14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ННЗТ</vt:lpstr>
      <vt:lpstr>НЭЗТ</vt:lpstr>
      <vt:lpstr>НАЗТ</vt:lpstr>
      <vt:lpstr>ОНЗТ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Алиса</cp:lastModifiedBy>
  <dcterms:created xsi:type="dcterms:W3CDTF">2025-11-26T23:20:39Z</dcterms:created>
  <dcterms:modified xsi:type="dcterms:W3CDTF">2026-03-04T18:27:48Z</dcterms:modified>
</cp:coreProperties>
</file>