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  <Override PartName="/xl/threadedComments/threadedComment6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filterPrivacy="1" codeName="ЭтаКнига"/>
  <xr:revisionPtr revIDLastSave="0" documentId="13_ncr:1_{093EB3A9-D49A-44FA-9C44-E3EB949FD78B}" xr6:coauthVersionLast="36" xr6:coauthVersionMax="36" xr10:uidLastSave="{00000000-0000-0000-0000-000000000000}"/>
  <bookViews>
    <workbookView xWindow="0" yWindow="0" windowWidth="19200" windowHeight="7185" tabRatio="845" activeTab="1" xr2:uid="{00000000-000D-0000-FFFF-FFFF00000000}"/>
  </bookViews>
  <sheets>
    <sheet name="ННЗТ" sheetId="6" r:id="rId1"/>
    <sheet name="НЭЗТ" sheetId="7" r:id="rId2"/>
    <sheet name="НВЗТ" sheetId="11" r:id="rId3"/>
    <sheet name="НАЗТ" sheetId="12" r:id="rId4"/>
    <sheet name="ОНЗТ" sheetId="18" r:id="rId5"/>
    <sheet name="Критичность ТЭС" sheetId="8" r:id="rId6"/>
    <sheet name="Справочники" sheetId="16" r:id="rId7"/>
  </sheets>
  <externalReferences>
    <externalReference r:id="rId8"/>
    <externalReference r:id="rId9"/>
  </externalReferences>
  <definedNames>
    <definedName name="anscount" hidden="1">1</definedName>
    <definedName name="BASE_OPERATION_LIST">[1]TECHSHEET!$K$29:$K$37</definedName>
    <definedName name="CCP_GTP_TYPES">[1]TECHSHEET!$K$52:$K$53</definedName>
    <definedName name="CEO_EMAIL">[1]Титульный!$F$65</definedName>
    <definedName name="CEO_NAME">[1]Титульный!$F$62</definedName>
    <definedName name="CEO_PHONE">[1]Титульный!$F$64</definedName>
    <definedName name="CEO_POSITION">[1]Титульный!$F$63</definedName>
    <definedName name="CURRENT_PERIOD" localSheetId="5">[1]Титульный!$F$12</definedName>
    <definedName name="CURRENT_PERIOD">#REF!</definedName>
    <definedName name="EXT_ORG_LA_ADDRESS" localSheetId="5">[1]Титульный!$M$102</definedName>
    <definedName name="EXT_ORG_LA_ADDRESS">#REF!</definedName>
    <definedName name="EXT_ORG_LA_INDEX" localSheetId="5">[1]Титульный!$M$103</definedName>
    <definedName name="EXT_ORG_LA_INDEX">#REF!</definedName>
    <definedName name="EXT_ORG_LA_MO" localSheetId="5">[1]Титульный!$M$100</definedName>
    <definedName name="EXT_ORG_LA_MO">#REF!</definedName>
    <definedName name="EXT_ORG_LA_MR" localSheetId="5">[1]Титульный!$M$99</definedName>
    <definedName name="EXT_ORG_LA_MR">#REF!</definedName>
    <definedName name="EXT_ORG_LA_OKTMO" localSheetId="5">[1]Титульный!$M$101</definedName>
    <definedName name="EXT_ORG_LA_OKTMO">#REF!</definedName>
    <definedName name="EXT_ORG_LA_REGION" localSheetId="5">[1]Титульный!$M$98</definedName>
    <definedName name="EXT_ORG_LA_REGION">#REF!</definedName>
    <definedName name="EXT_ORG_PA_ADDRESS" localSheetId="5">[1]Титульный!$M$108</definedName>
    <definedName name="EXT_ORG_PA_ADDRESS">#REF!</definedName>
    <definedName name="EXT_ORG_PA_INDEX" localSheetId="5">[1]Титульный!$M$109</definedName>
    <definedName name="EXT_ORG_PA_INDEX">#REF!</definedName>
    <definedName name="EXT_ORG_PA_MO" localSheetId="5">[1]Титульный!$M$106</definedName>
    <definedName name="EXT_ORG_PA_MO">#REF!</definedName>
    <definedName name="EXT_ORG_PA_MR" localSheetId="5">[1]Титульный!$M$105</definedName>
    <definedName name="EXT_ORG_PA_MR">#REF!</definedName>
    <definedName name="EXT_ORG_PA_OKTMO" localSheetId="5">[1]Титульный!$M$107</definedName>
    <definedName name="EXT_ORG_PA_OKTMO">#REF!</definedName>
    <definedName name="EXT_ORG_PA_REGION" localSheetId="5">[1]Титульный!$M$104</definedName>
    <definedName name="EXT_ORG_PA_REGION">#REF!</definedName>
    <definedName name="EXT_ORG_TAX" localSheetId="5">[1]Титульный!$M$77</definedName>
    <definedName name="EXT_ORG_TAX">#REF!</definedName>
    <definedName name="EXT_ORG_TAX_SYSTEM" localSheetId="5">[1]Титульный!$M$78</definedName>
    <definedName name="EXT_ORG_TAX_SYSTEM">#REF!</definedName>
    <definedName name="EXTENDED_TITLE_DATA">[1]Титульный!$F$45:$F$46,[1]Титульный!$F$48:$F$53,[1]Титульный!$F$55:$F$60,[1]Титульный!$F$62:$F$65</definedName>
    <definedName name="HEAT_DOCUMENT_URL_LIST">[1]TECHSHEET!$S$2:$S$3</definedName>
    <definedName name="HEAT_FUEL_CCP_GTP_BASIC_LIST">[1]TECHSHEET!$U$52:$U$55</definedName>
    <definedName name="HEAT_FUEL_CCP_GTP_CLAIM_LIST">[1]TECHSHEET!$S$52:$S$54</definedName>
    <definedName name="HEAT_FUEL_CCP_GTP_EMERGENCY_LIST">[2]TECHSHEET!$W$52:$W$54</definedName>
    <definedName name="HEAT_FUEL_NNZT_NEZT_MONTHLY_NNZT_AREA_1_1">'[1]Настройка расчёта ННЗТ и НЭЗТ'!$L$16</definedName>
    <definedName name="HEAT_FUEL_NNZT_NEZT_MONTHLY_NNZT_AREA_2">'[1]Настройка расчёта ННЗТ и НЭЗТ'!$L$22:$L$22</definedName>
    <definedName name="HEAT_FUEL_SPE_BASIC_LIST">[1]TECHSHEET!$U$27:$U$35</definedName>
    <definedName name="HEAT_FUEL_SPE_CLAIM_LIST">[1]TECHSHEET!$S$27:$S$29</definedName>
    <definedName name="HEAT_FUEL_SUPPLY_AVAILABLE_YEARS_LIST">[1]TECHSHEET!$S$13:$S$18</definedName>
    <definedName name="HEAT_NEZT_CALC_LIST">[1]TECHSHEET!$V$2:$V$4</definedName>
    <definedName name="HEAT_NEZT_CALC_NATURAL_GAS_LIST">[1]TECHSHEET!$U$2:$U$3</definedName>
    <definedName name="HEAT_TES_NNZT_VT_CALCULATION">[1]ТЭС!$BK$11</definedName>
    <definedName name="INN">[1]Титульный!$F$38</definedName>
    <definedName name="KPP">[1]Титульный!$F$39</definedName>
    <definedName name="LOSSES_HEADER">[1]TECHSHEET!$K$13</definedName>
    <definedName name="MONTH">[1]TECHSHEET!$O$2:$O$13</definedName>
    <definedName name="NORM_CALCULATION_TYPES">[1]TECHSHEET!$K$58:$K$60</definedName>
    <definedName name="OKATO">[1]Титульный!$F$41</definedName>
    <definedName name="ORG">[1]Титульный!$F$32</definedName>
    <definedName name="ORG_FULL">[1]Титульный!$F$34</definedName>
    <definedName name="P19_T1_Protect" localSheetId="5" hidden="1">P5_T1_Protect,P6_T1_Protect,P7_T1_Protect,P8_T1_Protect,P9_T1_Protect,P10_T1_Protect,P11_T1_Protect,P12_T1_Protect,P13_T1_Protect,P14_T1_Protect</definedName>
    <definedName name="P19_T1_Protect" hidden="1">P5_T1_Protect,P6_T1_Protect,P7_T1_Protect,P8_T1_Protect,P9_T1_Protect,P10_T1_Protect,P11_T1_Protect,P12_T1_Protect,P13_T1_Protect,P14_T1_Protect</definedName>
    <definedName name="P19_T2_Protect" localSheetId="5" hidden="1">P5_T1_Protect,P6_T1_Protect,P7_T1_Protect,P8_T1_Protect,P9_T1_Protect,P10_T1_Protect,P11_T1_Protect,P12_T1_Protect,P13_T1_Protect,P14_T1_Protect</definedName>
    <definedName name="P19_T2_Protect" hidden="1">P5_T1_Protect,P6_T1_Protect,P7_T1_Protect,P8_T1_Protect,P9_T1_Protect,P10_T1_Protect,P11_T1_Protect,P12_T1_Protect,P13_T1_Protect,P14_T1_Protect</definedName>
    <definedName name="POST_ADDRESS">[1]Титульный!$F$43</definedName>
    <definedName name="REGULATION_NEXT_OCTOBER_CALCULATION" localSheetId="5">[1]Титульный!$F$19</definedName>
    <definedName name="REGULATION_NEXT_OCTOBER_CALCULATION">#REF!</definedName>
    <definedName name="REGULATION_PERIOD">[1]Титульный!$F$14</definedName>
    <definedName name="RESERVES_HEADER">[1]TECHSHEET!$K$14</definedName>
    <definedName name="SAPBEXrevision" hidden="1">1</definedName>
    <definedName name="SAPBEXsysID" hidden="1">"BW2"</definedName>
    <definedName name="SAPBEXwbID" hidden="1">"479GSPMTNK9HM4ZSIVE5K2SH6"</definedName>
    <definedName name="TEMPLATE_CLAIM_CODE">[1]TECHSHEET!$G$12</definedName>
    <definedName name="TITLE_TES_NAME">[1]Титульный!$F$30</definedName>
    <definedName name="URL_DEFINE_MODES">[1]TECHSHEET!$K$65:$K$66</definedName>
    <definedName name="version">[1]Инструкция!$B$3</definedName>
    <definedName name="YEAR">[1]TECHSHEET!$N$11:$N$13</definedName>
    <definedName name="YES_NO">[1]TECHSHEET!$F$1:$F$2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8" l="1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C8" i="8" l="1"/>
  <c r="H6" i="12" l="1"/>
  <c r="J8" i="8" l="1"/>
  <c r="K8" i="8" s="1"/>
  <c r="G9" i="8"/>
  <c r="G7" i="18" l="1"/>
  <c r="G8" i="18"/>
  <c r="G9" i="18"/>
  <c r="G10" i="18"/>
  <c r="G11" i="18"/>
  <c r="G12" i="18"/>
  <c r="G13" i="18"/>
  <c r="G14" i="18"/>
  <c r="G15" i="18"/>
  <c r="G16" i="18"/>
  <c r="G17" i="18"/>
  <c r="T6" i="7" l="1"/>
  <c r="AF6" i="7" l="1"/>
  <c r="L6" i="7" l="1"/>
  <c r="O6" i="7" l="1"/>
  <c r="H9" i="8" l="1"/>
  <c r="L9" i="8" s="1"/>
  <c r="G11" i="8"/>
  <c r="H11" i="8" s="1"/>
  <c r="L11" i="8" s="1"/>
  <c r="G13" i="8"/>
  <c r="H13" i="8" s="1"/>
  <c r="L13" i="8" s="1"/>
  <c r="G14" i="8"/>
  <c r="H14" i="8" s="1"/>
  <c r="L14" i="8" s="1"/>
  <c r="G18" i="8"/>
  <c r="H18" i="8" s="1"/>
  <c r="L18" i="8" s="1"/>
  <c r="G16" i="8"/>
  <c r="H16" i="8" s="1"/>
  <c r="L16" i="8" s="1"/>
  <c r="G19" i="8"/>
  <c r="H19" i="8" s="1"/>
  <c r="G17" i="8"/>
  <c r="H17" i="8" s="1"/>
  <c r="L17" i="8" s="1"/>
  <c r="G15" i="8"/>
  <c r="H15" i="8" s="1"/>
  <c r="L15" i="8" s="1"/>
  <c r="G12" i="8"/>
  <c r="H12" i="8" s="1"/>
  <c r="L12" i="8" s="1"/>
  <c r="G10" i="8"/>
  <c r="H10" i="8" s="1"/>
  <c r="G8" i="8"/>
  <c r="H8" i="8" s="1"/>
  <c r="L8" i="8" s="1"/>
  <c r="L10" i="8" l="1"/>
  <c r="M10" i="8" s="1"/>
  <c r="L19" i="8"/>
  <c r="M19" i="8" s="1"/>
  <c r="M8" i="8"/>
  <c r="O7" i="7"/>
  <c r="O8" i="7"/>
  <c r="O9" i="7"/>
  <c r="O10" i="7"/>
  <c r="O11" i="7"/>
  <c r="O12" i="7"/>
  <c r="O13" i="7"/>
  <c r="O14" i="7"/>
  <c r="O15" i="7"/>
  <c r="O16" i="7"/>
  <c r="O17" i="7"/>
  <c r="L7" i="7"/>
  <c r="L8" i="7"/>
  <c r="L9" i="7"/>
  <c r="L10" i="7"/>
  <c r="L11" i="7"/>
  <c r="L12" i="7"/>
  <c r="L13" i="7"/>
  <c r="L14" i="7"/>
  <c r="L15" i="7"/>
  <c r="L16" i="7"/>
  <c r="L17" i="7"/>
  <c r="P6" i="7"/>
  <c r="R6" i="7" l="1"/>
  <c r="N10" i="8"/>
  <c r="N19" i="8"/>
  <c r="N8" i="8"/>
  <c r="P16" i="7"/>
  <c r="P12" i="7"/>
  <c r="P8" i="7"/>
  <c r="P15" i="7"/>
  <c r="P11" i="7"/>
  <c r="P7" i="7"/>
  <c r="P14" i="7"/>
  <c r="P10" i="7"/>
  <c r="P17" i="7"/>
  <c r="P13" i="7"/>
  <c r="P9" i="7"/>
  <c r="R8" i="7" l="1"/>
  <c r="R12" i="7"/>
  <c r="R16" i="7"/>
  <c r="R13" i="7"/>
  <c r="R9" i="7"/>
  <c r="R17" i="7"/>
  <c r="R10" i="7"/>
  <c r="R14" i="7"/>
  <c r="R7" i="7"/>
  <c r="R11" i="7"/>
  <c r="R15" i="7"/>
  <c r="M11" i="8"/>
  <c r="M17" i="8"/>
  <c r="M13" i="8"/>
  <c r="M15" i="8"/>
  <c r="M14" i="8"/>
  <c r="M12" i="8"/>
  <c r="M18" i="8"/>
  <c r="M16" i="8"/>
  <c r="M9" i="8"/>
  <c r="N12" i="8" l="1"/>
  <c r="N17" i="8"/>
  <c r="N18" i="8"/>
  <c r="N13" i="8"/>
  <c r="N16" i="8"/>
  <c r="N15" i="8"/>
  <c r="N9" i="8"/>
  <c r="N14" i="8"/>
  <c r="N11" i="8"/>
  <c r="I10" i="18" l="1"/>
  <c r="I11" i="18" l="1"/>
  <c r="I14" i="18"/>
  <c r="I15" i="18"/>
  <c r="I17" i="18"/>
  <c r="I12" i="18"/>
  <c r="I8" i="18"/>
  <c r="I7" i="18"/>
  <c r="I16" i="18"/>
  <c r="I13" i="18"/>
  <c r="I9" i="18"/>
  <c r="I6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4" authorId="0" shapeId="0" xr:uid="{DC36EF60-6236-4FCB-849E-E76D16E00577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Для выцбора нескольких видов доставки необходимо отметить галочкой "Комбинированная доставка". После - выбрать необходимые виды доставок</t>
        </r>
      </text>
    </comment>
    <comment ref="K4" authorId="0" shapeId="0" xr:uid="{2B7EBA9C-E587-4BB1-96DD-54063DF70AD5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</t>
        </r>
      </text>
    </comment>
    <comment ref="S4" authorId="0" shapeId="0" xr:uid="{479B8BD4-CC4E-41A1-8AD6-27B4E85BE475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Среднее значение сожженого топлива за 3 года или по данным последних замеров в случае отсутствия сжигания в последние годы</t>
        </r>
      </text>
    </comment>
    <comment ref="T4" authorId="0" shapeId="0" xr:uid="{01DFB1BA-BDAC-44F4-A1AA-6794B0EED209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Среднее значение сожженого топлива за 3 года или по данным последних замеров в случае отсутствия сжигания в последние годы</t>
        </r>
      </text>
    </comment>
    <comment ref="Z4" authorId="0" shapeId="0" xr:uid="{90F340DB-96E5-471D-95AD-083C3734025E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При отсутствии фактических данных за год, предшествующий планируемому, могут быть приняты значения, указанные в прогнозном объеме производства тепловой и (или) электрической энергии</t>
        </r>
      </text>
    </comment>
    <comment ref="AD4" authorId="0" shapeId="0" xr:uid="{8E5080A3-C35F-45BF-8EFC-AD635F8F474F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Должен определяться в соответствии с нормативно-технической документацией по топливоиспользованию ТЭС. При отсутствии информации о необходимых режимах должен определяться по тепловому балансу в соответствии с РД.34.08.552-95</t>
        </r>
      </text>
    </comment>
    <comment ref="AE4" authorId="0" shapeId="0" xr:uid="{81FB9290-2B5F-4088-A996-6D027AE9B0AD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Должен определяться в соответствии с нормативно-технической документацией по топливоиспользованию ТЭС. При отсутствии информации о необходимых режимах должен определяться по тепловому балансу в соответствии с РД.34.08.552-95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F4" authorId="0" shapeId="0" xr:uid="{6A80D712-C1DA-4820-BB70-1628A31892F7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Определяется в соответствии с проектной документацией на оборудование ПГУ, ГТУ</t>
        </r>
      </text>
    </comment>
    <comment ref="G4" authorId="0" shapeId="0" xr:uid="{296108AC-2161-430F-8A5F-6B40565263FF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Определяется в соответствии с проектной документацией на оборудование ПГУ, ГТУ. При отсутствии информации в проектной документации принимается от 3 до 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7" authorId="0" shapeId="0" xr:uid="{5E021FF3-51FD-4061-9A86-60A5BB877B97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Определяется по последнему зимнему контрольному замеру потокораспределения, нагрузок и уровней напряжения на объектах электроэнергетики</t>
        </r>
      </text>
    </comment>
    <comment ref="J7" authorId="0" shapeId="0" xr:uid="{2E4E655D-2C2C-453B-8FA8-17CB2CFAD18C}">
      <text>
        <r>
          <rPr>
            <sz val="11"/>
            <color theme="1"/>
            <rFont val="Calibri"/>
            <family val="2"/>
            <scheme val="minor"/>
          </rPr>
          <t>[Threaded comment]
Your application allows you to read this threaded comment; however, any edits to it will get removed if the file is opened in a latest version of Excel.
Comment:
		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</t>
        </r>
      </text>
    </comment>
  </commentList>
</comments>
</file>

<file path=xl/sharedStrings.xml><?xml version="1.0" encoding="utf-8"?>
<sst xmlns="http://schemas.openxmlformats.org/spreadsheetml/2006/main" count="193" uniqueCount="114">
  <si>
    <t>№ п/п</t>
  </si>
  <si>
    <t>Наименование ТЭС</t>
  </si>
  <si>
    <t>Вид топлива для создания запаса</t>
  </si>
  <si>
    <t>Теплота сгорания натурального топлива по среднему значению сожженного топлива за 3 года или по данным последних замеров в случае отсутствия сжигания топлива в последние годы, ккал/кг</t>
  </si>
  <si>
    <t>Количество суток, в течение которых обеспечивается работа ТЭС в режиме "выживания", сутки</t>
  </si>
  <si>
    <t>Количество условного топлива, необходимого для функционирования ТЭС с максимальной выработкой электрической энергии в течении одних суток, т.у.т.</t>
  </si>
  <si>
    <t>Количество условного топлива, необходимого для функционирования ТЭС с максимальным отпуском тепловой энергии в расчетном месяце за предыдущие 5 лет, т.у.т.</t>
  </si>
  <si>
    <t>Базовая величина НЭЗТ, т.н.т.</t>
  </si>
  <si>
    <t>НЭЗТ, т.н.т.</t>
  </si>
  <si>
    <t>Месяц</t>
  </si>
  <si>
    <t>Влияние ТЭС на теплоснабжение потребителей</t>
  </si>
  <si>
    <t>Влияние нагрузки ТЭС на электроэнергетический режим энергосистемы</t>
  </si>
  <si>
    <t>Уровень критичности ТЭС, %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</si>
  <si>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</si>
  <si>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</si>
  <si>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</si>
  <si>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</si>
  <si>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</si>
  <si>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</si>
  <si>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</si>
  <si>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</si>
  <si>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</si>
  <si>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</si>
  <si>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</si>
  <si>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</si>
  <si>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Уровень резервирования топливоснабжения</t>
  </si>
  <si>
    <t>Количество точек отправки топлива</t>
  </si>
  <si>
    <t>Наличие резерва элементов ПС и ТХ</t>
  </si>
  <si>
    <t>НВЗТ, тнт</t>
  </si>
  <si>
    <t>Максимальная продолжительность эксплуатации оборудования на аварийном топливе, суток</t>
  </si>
  <si>
    <t>НАЗТ б.в</t>
  </si>
  <si>
    <t>НАЗТ, т.н.т</t>
  </si>
  <si>
    <t>Группа показателей</t>
  </si>
  <si>
    <t>Влияние на теплоснабжение</t>
  </si>
  <si>
    <t>Вес группы</t>
  </si>
  <si>
    <t>Показатель критичности</t>
  </si>
  <si>
    <t>Вес показателя</t>
  </si>
  <si>
    <t>Балл</t>
  </si>
  <si>
    <t>Отношение величины минимально допустимой активной мощности ТЭС к установленной мощности ТЭС, %</t>
  </si>
  <si>
    <t>Аналитические показатели</t>
  </si>
  <si>
    <t>Протяженность подводящего трубопровода, км</t>
  </si>
  <si>
    <t>Наличие резерва элементов ПС или ТХ</t>
  </si>
  <si>
    <t>Отсутствие резерва элементов ПС и ТХ</t>
  </si>
  <si>
    <t xml:space="preserve">Статистические </t>
  </si>
  <si>
    <t>Статистика нарушений нормативов запасов топливаза последние 5 лет</t>
  </si>
  <si>
    <t>Отношение факт. Суточного использования топлива за последние 5 лет к количеству топлива для расчета базового НЭЗТ</t>
  </si>
  <si>
    <t>Трубопроводный способ доставки</t>
  </si>
  <si>
    <t>Транспортный способ доставки</t>
  </si>
  <si>
    <t>Средневзвеш. Время поставки топлива от разных поставщиков, суток</t>
  </si>
  <si>
    <t>Конвейерный способ доставки</t>
  </si>
  <si>
    <t>Для всех способов доставки одинаковые</t>
  </si>
  <si>
    <t>ННЗТ, тнт</t>
  </si>
  <si>
    <t>Плановый полезный отпуск тепловой энергии, в соответствии со сводным прогнозным балансом, Гкал</t>
  </si>
  <si>
    <t>Установленная тепловая мощность ТЭС, в соответствии со сводным прогнозным балансом, Гкал/час</t>
  </si>
  <si>
    <t>Количество часов в расчетном месяце, ч</t>
  </si>
  <si>
    <t>Использование уст тепл мощности, %</t>
  </si>
  <si>
    <t>Минимально допустимая активная мощность на ТЭС, при которой функционирование энергосистемы не будет нарушено, МВт</t>
  </si>
  <si>
    <t>Установленная электрическая мощность ТЭС на плановый год, МВт</t>
  </si>
  <si>
    <t>только Статистические</t>
  </si>
  <si>
    <t>Количество условного топлива, необходимого для функционирования ТЭС в расчетном месяце в течении одних суток с максимальным суточным отпуском тепловой энергии за последние 5 лет и максимальной выработкой электрической энергии, т.у.т.</t>
  </si>
  <si>
    <t>Максимальный среднесуточный отпуск тепловой энергии за предыдущие пять лет, тыс. Гкал.</t>
  </si>
  <si>
    <r>
      <t>Теплота сгорания газа, ккал/м</t>
    </r>
    <r>
      <rPr>
        <sz val="9"/>
        <rFont val="Calibri"/>
        <family val="2"/>
        <charset val="204"/>
      </rPr>
      <t>ᶟ</t>
    </r>
  </si>
  <si>
    <t>Теплота сгорания резервного топлива, ккал/кг</t>
  </si>
  <si>
    <t>Максимальный месячный объем ограничения газа в периоды снижения температуры за последние 8 лет, м3</t>
  </si>
  <si>
    <t>Месяц в котором поставка топлива ограничена</t>
  </si>
  <si>
    <t>блок отражаем если считаем НЭЗТ резервного топлива</t>
  </si>
  <si>
    <t>НЭЗТ огр.пост, т.н.т.</t>
  </si>
  <si>
    <t>Количество суток в расчетном месяце</t>
  </si>
  <si>
    <t>Фактический среднемесячный расход топлива в расчетный месяц за предыдущие 3 года, т.н.т.</t>
  </si>
  <si>
    <t>Плановая месячная выработка электрической энергии, в соответствии со сводным прогнозным балансом, млн кВт*ч</t>
  </si>
  <si>
    <t>Среднесуточный расход топлива в месяце с ограничением поставок топлива</t>
  </si>
  <si>
    <t>Использование установленной тепловой мощности ТЭС, %</t>
  </si>
  <si>
    <t>Лист Критичность ТЭС</t>
  </si>
  <si>
    <t>0-расположение ТЭС на территории источника топлива</t>
  </si>
  <si>
    <t>Критичность ТЭС</t>
  </si>
  <si>
    <t>Категория уровня критичности</t>
  </si>
  <si>
    <t>да</t>
  </si>
  <si>
    <t>Для расчета "Категория уровня критичности"</t>
  </si>
  <si>
    <t>Расчет неснижаемого нормативного запаса топлива (ННЗТ)</t>
  </si>
  <si>
    <t>Расчет неснижаемого эксплуатационного запаса топлива (НЭЗТ)</t>
  </si>
  <si>
    <t>Способ доставки основного топлива на ТЭС</t>
  </si>
  <si>
    <t>Расчет вспомагательного запаса топлива (НВЗТ)</t>
  </si>
  <si>
    <t>Расчет аварийного запаса топлива (НАЗТ)</t>
  </si>
  <si>
    <t>Уголь</t>
  </si>
  <si>
    <t>Расход электроэнергии на собственные нужды ТЭС, млн.кВт*ч</t>
  </si>
  <si>
    <t>Удельный расход условного топлива на отпуск электрической энергии, гут/кВтч</t>
  </si>
  <si>
    <t>Удельный расход условного топлива на отпуск тепловой энергии, кг/Гкал</t>
  </si>
  <si>
    <t>Расчет общего нормативного запаса топлива (ОНЗТ)</t>
  </si>
  <si>
    <t>скрыта всегда</t>
  </si>
  <si>
    <t>НВЗТ, т.н.т.</t>
  </si>
  <si>
    <t>ННЗТ, т.н.т.</t>
  </si>
  <si>
    <t>ОНЗТ, т.н.т.</t>
  </si>
  <si>
    <t>Транспортная доставка</t>
  </si>
  <si>
    <t>Максимальный суточный расход аварийного топлива для ПГУ/ГТУ, т.н.т/суток</t>
  </si>
  <si>
    <t>убрать, взять из Надежность</t>
  </si>
  <si>
    <t>Установленная электрическая мощность ТЭС (очереди оборудования ТЭС)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МВт</t>
  </si>
  <si>
    <t>Удельный расход условного топлива на отпуск электрической энергии при работе с установленной мощностью ТЭС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гут/кВт*ч</t>
  </si>
  <si>
    <t>Удельный расход условного топлива на отпуск тепловой энергии при работе по максимальному среднесуточному отпуску тепловой энергии в расчетном месяце за последние 5 лет, кг/Гкал</t>
  </si>
  <si>
    <t>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млн.кВт*ч</t>
  </si>
  <si>
    <t>Количество суток, при которых поставка топлива ограничена</t>
  </si>
  <si>
    <t>Лист отражаем только в версии Минэнерго</t>
  </si>
  <si>
    <t>Амурская ТЭЦ-1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</si>
  <si>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</si>
  <si>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</si>
  <si>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</si>
  <si>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</si>
  <si>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</si>
  <si>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</si>
  <si>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</si>
  <si>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</si>
  <si>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</si>
  <si>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Ноябрь</t>
  </si>
  <si>
    <t>Октябрь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</si>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</sst>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sz val="9"/>
      <color rgb="FFFF0000"/>
      <name val="Tahoma"/>
      <family val="2"/>
      <charset val="204"/>
    </font>
    <font>
      <b/>
      <sz val="9"/>
      <name val="Tahoma"/>
      <family val="2"/>
      <charset val="204"/>
    </font>
    <font>
      <b/>
      <sz val="9"/>
      <color theme="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1"/>
      <name val="Calibri"/>
      <family val="2"/>
      <scheme val="minor"/>
    </font>
    <font>
      <b/>
      <sz val="9"/>
      <color rgb="FF002060"/>
      <name val="Tahoma"/>
      <family val="2"/>
      <charset val="204"/>
    </font>
    <font>
      <sz val="9"/>
      <color rgb="FF002060"/>
      <name val="Tahoma"/>
      <family val="2"/>
      <charset val="204"/>
    </font>
    <font>
      <sz val="11"/>
      <color rgb="FF002060"/>
      <name val="Calibri"/>
      <family val="2"/>
      <scheme val="minor"/>
    </font>
    <font>
      <b/>
      <sz val="8"/>
      <name val="Tahoma"/>
      <family val="2"/>
      <charset val="204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0" tint="-0.249977111117893"/>
      </right>
      <top/>
      <bottom style="thin">
        <color indexed="22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2" fillId="0" borderId="0" applyBorder="0">
      <alignment vertical="top"/>
    </xf>
    <xf numFmtId="9" fontId="13" fillId="0" borderId="0" applyFont="0" applyFill="0" applyBorder="0" applyAlignment="0" applyProtection="0"/>
  </cellStyleXfs>
  <cellXfs count="235">
    <xf numFmtId="0" fontId="0" fillId="0" borderId="0" xfId="0"/>
    <xf numFmtId="49" fontId="2" fillId="0" borderId="0" xfId="1">
      <alignment vertical="top"/>
    </xf>
    <xf numFmtId="0" fontId="2" fillId="0" borderId="1" xfId="1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center" vertical="center"/>
    </xf>
    <xf numFmtId="0" fontId="2" fillId="0" borderId="0" xfId="0" applyNumberFormat="1" applyFont="1" applyBorder="1" applyAlignment="1" applyProtection="1">
      <alignment horizontal="left" vertical="center"/>
    </xf>
    <xf numFmtId="0" fontId="3" fillId="0" borderId="0" xfId="0" applyNumberFormat="1" applyFont="1" applyBorder="1" applyAlignment="1" applyProtection="1">
      <alignment horizontal="left" vertical="center" wrapText="1"/>
    </xf>
    <xf numFmtId="0" fontId="3" fillId="0" borderId="0" xfId="0" applyNumberFormat="1" applyFont="1" applyBorder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49" fontId="3" fillId="0" borderId="0" xfId="1" applyFont="1">
      <alignment vertical="top"/>
    </xf>
    <xf numFmtId="0" fontId="2" fillId="0" borderId="2" xfId="1" applyNumberFormat="1" applyFont="1" applyFill="1" applyBorder="1" applyAlignment="1" applyProtection="1">
      <alignment horizontal="center" vertical="center" wrapText="1"/>
    </xf>
    <xf numFmtId="0" fontId="2" fillId="5" borderId="1" xfId="1" applyNumberFormat="1" applyFill="1" applyBorder="1" applyAlignment="1" applyProtection="1">
      <alignment horizontal="center" vertical="center" wrapText="1"/>
    </xf>
    <xf numFmtId="4" fontId="2" fillId="2" borderId="3" xfId="1" applyNumberFormat="1" applyFont="1" applyFill="1" applyBorder="1" applyAlignment="1" applyProtection="1">
      <alignment vertical="center"/>
    </xf>
    <xf numFmtId="0" fontId="1" fillId="0" borderId="1" xfId="0" applyNumberFormat="1" applyFont="1" applyBorder="1" applyAlignment="1" applyProtection="1">
      <alignment vertical="center" wrapText="1"/>
    </xf>
    <xf numFmtId="0" fontId="0" fillId="0" borderId="0" xfId="0" applyAlignment="1">
      <alignment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0" fillId="0" borderId="17" xfId="0" applyBorder="1"/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7" borderId="0" xfId="0" applyFill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right" vertical="center" wrapText="1"/>
    </xf>
    <xf numFmtId="0" fontId="2" fillId="0" borderId="1" xfId="1" applyNumberFormat="1" applyFont="1" applyFill="1" applyBorder="1" applyAlignment="1" applyProtection="1">
      <alignment horizontal="center" vertical="center" wrapText="1"/>
    </xf>
    <xf numFmtId="0" fontId="0" fillId="0" borderId="31" xfId="0" applyBorder="1"/>
    <xf numFmtId="0" fontId="2" fillId="0" borderId="1" xfId="1" applyNumberFormat="1" applyFont="1" applyFill="1" applyBorder="1" applyAlignment="1" applyProtection="1">
      <alignment horizontal="center" vertical="center" wrapText="1"/>
    </xf>
    <xf numFmtId="4" fontId="2" fillId="2" borderId="3" xfId="1" applyNumberFormat="1" applyFont="1" applyFill="1" applyBorder="1" applyAlignment="1" applyProtection="1">
      <alignment horizontal="right" vertical="center" wrapText="1"/>
    </xf>
    <xf numFmtId="0" fontId="2" fillId="0" borderId="1" xfId="1" applyNumberFormat="1" applyFont="1" applyFill="1" applyBorder="1" applyAlignment="1" applyProtection="1">
      <alignment horizontal="center" vertical="center" wrapText="1"/>
    </xf>
    <xf numFmtId="49" fontId="3" fillId="0" borderId="0" xfId="1" applyFont="1" applyAlignment="1">
      <alignment horizontal="center" vertical="center" wrapText="1"/>
    </xf>
    <xf numFmtId="4" fontId="1" fillId="3" borderId="1" xfId="0" applyNumberFormat="1" applyFont="1" applyFill="1" applyBorder="1" applyAlignment="1" applyProtection="1">
      <alignment horizontal="right" vertical="center" wrapText="1"/>
      <protection locked="0"/>
    </xf>
    <xf numFmtId="1" fontId="6" fillId="0" borderId="20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0" fontId="2" fillId="0" borderId="0" xfId="1" applyNumberFormat="1">
      <alignment vertical="top"/>
    </xf>
    <xf numFmtId="2" fontId="0" fillId="0" borderId="17" xfId="0" applyNumberFormat="1" applyBorder="1" applyAlignment="1">
      <alignment horizontal="right" vertical="center"/>
    </xf>
    <xf numFmtId="2" fontId="0" fillId="0" borderId="17" xfId="0" applyNumberFormat="1" applyBorder="1" applyAlignment="1">
      <alignment horizontal="right" vertical="center" wrapText="1"/>
    </xf>
    <xf numFmtId="2" fontId="0" fillId="0" borderId="18" xfId="0" applyNumberFormat="1" applyBorder="1" applyAlignment="1">
      <alignment horizontal="right" vertical="center" wrapText="1"/>
    </xf>
    <xf numFmtId="2" fontId="0" fillId="0" borderId="20" xfId="0" applyNumberFormat="1" applyBorder="1" applyAlignment="1">
      <alignment horizontal="right" vertical="center"/>
    </xf>
    <xf numFmtId="2" fontId="0" fillId="0" borderId="20" xfId="0" applyNumberFormat="1" applyBorder="1" applyAlignment="1">
      <alignment horizontal="right" vertical="center" wrapText="1"/>
    </xf>
    <xf numFmtId="2" fontId="0" fillId="0" borderId="21" xfId="0" applyNumberFormat="1" applyBorder="1" applyAlignment="1">
      <alignment horizontal="right" vertical="center" wrapText="1"/>
    </xf>
    <xf numFmtId="4" fontId="0" fillId="0" borderId="20" xfId="0" applyNumberFormat="1" applyBorder="1" applyAlignment="1">
      <alignment horizontal="right" vertical="center" wrapText="1"/>
    </xf>
    <xf numFmtId="4" fontId="0" fillId="0" borderId="17" xfId="0" applyNumberFormat="1" applyBorder="1" applyAlignment="1">
      <alignment horizontal="right" vertical="center" wrapText="1"/>
    </xf>
    <xf numFmtId="4" fontId="0" fillId="0" borderId="0" xfId="0" applyNumberFormat="1" applyBorder="1" applyAlignment="1">
      <alignment horizontal="right" vertical="center" wrapText="1"/>
    </xf>
    <xf numFmtId="4" fontId="0" fillId="0" borderId="51" xfId="0" applyNumberFormat="1" applyBorder="1" applyAlignment="1">
      <alignment horizontal="right" vertical="center" wrapText="1"/>
    </xf>
    <xf numFmtId="4" fontId="0" fillId="0" borderId="21" xfId="0" applyNumberFormat="1" applyBorder="1" applyAlignment="1">
      <alignment horizontal="right" vertical="center" wrapText="1"/>
    </xf>
    <xf numFmtId="4" fontId="0" fillId="0" borderId="55" xfId="0" applyNumberFormat="1" applyBorder="1" applyAlignment="1">
      <alignment horizontal="right" vertical="center"/>
    </xf>
    <xf numFmtId="4" fontId="0" fillId="0" borderId="53" xfId="0" applyNumberFormat="1" applyBorder="1" applyAlignment="1">
      <alignment horizontal="right" vertical="center" wrapText="1"/>
    </xf>
    <xf numFmtId="4" fontId="0" fillId="0" borderId="54" xfId="0" applyNumberFormat="1" applyBorder="1" applyAlignment="1">
      <alignment horizontal="right" vertical="center" wrapText="1"/>
    </xf>
    <xf numFmtId="4" fontId="0" fillId="0" borderId="47" xfId="0" applyNumberFormat="1" applyBorder="1" applyAlignment="1">
      <alignment horizontal="right" vertical="center"/>
    </xf>
    <xf numFmtId="4" fontId="0" fillId="0" borderId="49" xfId="0" applyNumberFormat="1" applyBorder="1" applyAlignment="1">
      <alignment horizontal="right" vertical="center"/>
    </xf>
    <xf numFmtId="4" fontId="0" fillId="0" borderId="18" xfId="0" applyNumberFormat="1" applyBorder="1" applyAlignment="1">
      <alignment horizontal="right" vertical="center" wrapText="1"/>
    </xf>
    <xf numFmtId="4" fontId="0" fillId="0" borderId="53" xfId="0" applyNumberFormat="1" applyBorder="1" applyAlignment="1">
      <alignment horizontal="right" vertical="center"/>
    </xf>
    <xf numFmtId="4" fontId="0" fillId="0" borderId="20" xfId="0" applyNumberFormat="1" applyBorder="1" applyAlignment="1">
      <alignment horizontal="right" vertical="center"/>
    </xf>
    <xf numFmtId="0" fontId="6" fillId="0" borderId="17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/>
    </xf>
    <xf numFmtId="3" fontId="0" fillId="0" borderId="17" xfId="0" applyNumberFormat="1" applyBorder="1" applyAlignment="1">
      <alignment horizontal="right" vertical="center"/>
    </xf>
    <xf numFmtId="3" fontId="0" fillId="0" borderId="17" xfId="0" applyNumberFormat="1" applyBorder="1" applyAlignment="1">
      <alignment horizontal="right" vertical="center" wrapText="1"/>
    </xf>
    <xf numFmtId="3" fontId="0" fillId="0" borderId="18" xfId="0" applyNumberFormat="1" applyBorder="1" applyAlignment="1">
      <alignment horizontal="right" vertical="center" wrapText="1"/>
    </xf>
    <xf numFmtId="4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1" applyNumberFormat="1" applyFont="1" applyFill="1" applyBorder="1" applyAlignment="1" applyProtection="1">
      <alignment horizontal="right" vertical="center" wrapText="1"/>
    </xf>
    <xf numFmtId="49" fontId="10" fillId="0" borderId="0" xfId="1" applyFont="1" applyAlignment="1">
      <alignment vertical="top" wrapText="1"/>
    </xf>
    <xf numFmtId="0" fontId="2" fillId="0" borderId="43" xfId="1" applyNumberFormat="1" applyFont="1" applyFill="1" applyBorder="1" applyAlignment="1" applyProtection="1">
      <alignment horizontal="center" vertical="center" wrapText="1"/>
    </xf>
    <xf numFmtId="49" fontId="2" fillId="0" borderId="41" xfId="1" applyBorder="1">
      <alignment vertical="top"/>
    </xf>
    <xf numFmtId="0" fontId="2" fillId="2" borderId="3" xfId="1" applyNumberFormat="1" applyFont="1" applyFill="1" applyBorder="1" applyAlignment="1" applyProtection="1">
      <alignment horizontal="right" vertical="center" wrapText="1"/>
    </xf>
    <xf numFmtId="0" fontId="2" fillId="2" borderId="62" xfId="1" applyNumberFormat="1" applyFont="1" applyFill="1" applyBorder="1" applyAlignment="1" applyProtection="1">
      <alignment horizontal="right" vertical="center" wrapText="1"/>
    </xf>
    <xf numFmtId="0" fontId="2" fillId="2" borderId="5" xfId="1" applyNumberFormat="1" applyFont="1" applyFill="1" applyBorder="1" applyAlignment="1" applyProtection="1">
      <alignment horizontal="right" vertical="center" wrapText="1"/>
    </xf>
    <xf numFmtId="0" fontId="2" fillId="2" borderId="42" xfId="1" applyNumberFormat="1" applyFont="1" applyFill="1" applyBorder="1" applyAlignment="1" applyProtection="1">
      <alignment horizontal="right" vertical="center" wrapText="1"/>
    </xf>
    <xf numFmtId="0" fontId="2" fillId="2" borderId="43" xfId="1" applyNumberFormat="1" applyFont="1" applyFill="1" applyBorder="1" applyAlignment="1" applyProtection="1">
      <alignment horizontal="right" vertical="center" wrapText="1"/>
    </xf>
    <xf numFmtId="0" fontId="11" fillId="0" borderId="0" xfId="0" applyFont="1"/>
    <xf numFmtId="0" fontId="5" fillId="0" borderId="0" xfId="0" applyFont="1" applyAlignment="1">
      <alignment vertical="center"/>
    </xf>
    <xf numFmtId="0" fontId="10" fillId="0" borderId="0" xfId="0" applyNumberFormat="1" applyFont="1" applyBorder="1" applyAlignment="1" applyProtection="1">
      <alignment horizontal="left" vertical="center"/>
    </xf>
    <xf numFmtId="0" fontId="10" fillId="0" borderId="0" xfId="0" applyNumberFormat="1" applyFont="1" applyBorder="1" applyAlignment="1" applyProtection="1">
      <alignment horizontal="left" vertical="center" wrapText="1"/>
    </xf>
    <xf numFmtId="0" fontId="2" fillId="2" borderId="63" xfId="1" applyNumberFormat="1" applyFont="1" applyFill="1" applyBorder="1" applyAlignment="1" applyProtection="1">
      <alignment horizontal="center" vertical="top" wrapText="1"/>
    </xf>
    <xf numFmtId="0" fontId="2" fillId="2" borderId="46" xfId="1" applyNumberFormat="1" applyFont="1" applyFill="1" applyBorder="1" applyAlignment="1" applyProtection="1">
      <alignment horizontal="center" vertical="top" wrapText="1"/>
    </xf>
    <xf numFmtId="4" fontId="4" fillId="2" borderId="8" xfId="0" applyNumberFormat="1" applyFont="1" applyFill="1" applyBorder="1" applyAlignment="1" applyProtection="1">
      <alignment horizontal="right" vertical="center" wrapText="1"/>
    </xf>
    <xf numFmtId="49" fontId="10" fillId="0" borderId="0" xfId="1" applyFont="1" applyAlignment="1">
      <alignment horizontal="center" vertical="center" wrapText="1"/>
    </xf>
    <xf numFmtId="0" fontId="2" fillId="0" borderId="40" xfId="0" applyNumberFormat="1" applyFont="1" applyFill="1" applyBorder="1" applyAlignment="1" applyProtection="1">
      <alignment horizontal="left" vertical="center"/>
    </xf>
    <xf numFmtId="0" fontId="0" fillId="0" borderId="33" xfId="0" applyBorder="1"/>
    <xf numFmtId="0" fontId="2" fillId="0" borderId="33" xfId="0" applyNumberFormat="1" applyFont="1" applyFill="1" applyBorder="1" applyAlignment="1" applyProtection="1">
      <alignment horizontal="left" vertical="center"/>
    </xf>
    <xf numFmtId="49" fontId="12" fillId="0" borderId="0" xfId="1" applyFont="1" applyAlignment="1">
      <alignment vertical="center" wrapText="1"/>
    </xf>
    <xf numFmtId="0" fontId="11" fillId="4" borderId="0" xfId="0" applyFont="1" applyFill="1"/>
    <xf numFmtId="49" fontId="10" fillId="0" borderId="0" xfId="1" applyFont="1" applyAlignment="1">
      <alignment horizontal="center" vertical="top" wrapText="1"/>
    </xf>
    <xf numFmtId="49" fontId="10" fillId="0" borderId="0" xfId="1" applyFont="1" applyAlignment="1">
      <alignment horizontal="center" vertical="center"/>
    </xf>
    <xf numFmtId="0" fontId="10" fillId="4" borderId="0" xfId="0" applyNumberFormat="1" applyFont="1" applyFill="1" applyBorder="1" applyAlignment="1" applyProtection="1">
      <alignment horizontal="left" vertical="center" wrapText="1"/>
    </xf>
    <xf numFmtId="0" fontId="10" fillId="0" borderId="0" xfId="0" applyFont="1" applyAlignment="1">
      <alignment vertical="center"/>
    </xf>
    <xf numFmtId="4" fontId="4" fillId="2" borderId="3" xfId="1" applyNumberFormat="1" applyFont="1" applyFill="1" applyBorder="1" applyAlignment="1" applyProtection="1">
      <alignment vertical="center"/>
    </xf>
    <xf numFmtId="3" fontId="2" fillId="2" borderId="3" xfId="1" applyNumberFormat="1" applyFont="1" applyFill="1" applyBorder="1" applyAlignment="1" applyProtection="1">
      <alignment vertical="center"/>
    </xf>
    <xf numFmtId="49" fontId="2" fillId="4" borderId="0" xfId="1" applyFill="1">
      <alignment vertical="top"/>
    </xf>
    <xf numFmtId="0" fontId="3" fillId="0" borderId="0" xfId="0" applyFont="1"/>
    <xf numFmtId="0" fontId="0" fillId="0" borderId="64" xfId="0" applyBorder="1"/>
    <xf numFmtId="4" fontId="0" fillId="0" borderId="0" xfId="0" applyNumberFormat="1"/>
    <xf numFmtId="164" fontId="0" fillId="0" borderId="0" xfId="0" applyNumberFormat="1"/>
    <xf numFmtId="9" fontId="0" fillId="0" borderId="0" xfId="2" applyFont="1"/>
    <xf numFmtId="4" fontId="2" fillId="2" borderId="3" xfId="1" applyNumberFormat="1" applyFont="1" applyFill="1" applyBorder="1" applyAlignment="1" applyProtection="1">
      <alignment horizontal="center" vertical="center"/>
    </xf>
    <xf numFmtId="4" fontId="2" fillId="0" borderId="33" xfId="0" applyNumberFormat="1" applyFont="1" applyFill="1" applyBorder="1" applyAlignment="1" applyProtection="1">
      <alignment horizontal="center" vertical="center"/>
    </xf>
    <xf numFmtId="3" fontId="2" fillId="0" borderId="33" xfId="0" applyNumberFormat="1" applyFont="1" applyFill="1" applyBorder="1" applyAlignment="1" applyProtection="1">
      <alignment horizontal="center" vertical="center"/>
    </xf>
    <xf numFmtId="4" fontId="2" fillId="2" borderId="12" xfId="0" applyNumberFormat="1" applyFont="1" applyFill="1" applyBorder="1" applyAlignment="1" applyProtection="1">
      <alignment horizontal="center" vertical="center"/>
    </xf>
    <xf numFmtId="4" fontId="2" fillId="2" borderId="8" xfId="0" applyNumberFormat="1" applyFont="1" applyFill="1" applyBorder="1" applyAlignment="1" applyProtection="1">
      <alignment horizontal="center" vertical="center" wrapText="1"/>
    </xf>
    <xf numFmtId="3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2" borderId="8" xfId="0" applyNumberFormat="1" applyFont="1" applyFill="1" applyBorder="1" applyAlignment="1" applyProtection="1">
      <alignment horizontal="center" vertical="center" wrapText="1"/>
    </xf>
    <xf numFmtId="4" fontId="4" fillId="2" borderId="8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4" fontId="2" fillId="2" borderId="1" xfId="0" applyNumberFormat="1" applyFont="1" applyFill="1" applyBorder="1" applyAlignment="1" applyProtection="1">
      <alignment horizontal="center" vertical="center"/>
    </xf>
    <xf numFmtId="0" fontId="0" fillId="0" borderId="64" xfId="0" applyBorder="1" applyAlignment="1">
      <alignment horizontal="center"/>
    </xf>
    <xf numFmtId="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4" fillId="2" borderId="3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2" fillId="2" borderId="8" xfId="0" applyNumberFormat="1" applyFont="1" applyFill="1" applyBorder="1" applyAlignment="1" applyProtection="1">
      <alignment horizontal="center" vertical="center"/>
    </xf>
    <xf numFmtId="4" fontId="2" fillId="2" borderId="58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Border="1" applyAlignment="1" applyProtection="1">
      <alignment horizontal="center" vertical="center" wrapText="1"/>
    </xf>
    <xf numFmtId="0" fontId="1" fillId="0" borderId="5" xfId="0" applyNumberFormat="1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7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Border="1" applyAlignment="1" applyProtection="1">
      <alignment horizontal="center" vertical="center" wrapText="1"/>
    </xf>
    <xf numFmtId="4" fontId="2" fillId="2" borderId="36" xfId="0" applyNumberFormat="1" applyFont="1" applyFill="1" applyBorder="1" applyAlignment="1" applyProtection="1">
      <alignment horizontal="center" vertical="center"/>
    </xf>
    <xf numFmtId="4" fontId="2" fillId="2" borderId="31" xfId="0" applyNumberFormat="1" applyFont="1" applyFill="1" applyBorder="1" applyAlignment="1" applyProtection="1">
      <alignment horizontal="center" vertical="center"/>
    </xf>
    <xf numFmtId="4" fontId="2" fillId="2" borderId="32" xfId="0" applyNumberFormat="1" applyFont="1" applyFill="1" applyBorder="1" applyAlignment="1" applyProtection="1">
      <alignment horizontal="center" vertical="center"/>
    </xf>
    <xf numFmtId="4" fontId="2" fillId="2" borderId="33" xfId="0" applyNumberFormat="1" applyFont="1" applyFill="1" applyBorder="1" applyAlignment="1" applyProtection="1">
      <alignment horizontal="center" vertical="center"/>
    </xf>
    <xf numFmtId="3" fontId="2" fillId="2" borderId="32" xfId="0" applyNumberFormat="1" applyFont="1" applyFill="1" applyBorder="1" applyAlignment="1" applyProtection="1">
      <alignment horizontal="center" vertical="center"/>
    </xf>
    <xf numFmtId="3" fontId="2" fillId="2" borderId="33" xfId="0" applyNumberFormat="1" applyFont="1" applyFill="1" applyBorder="1" applyAlignment="1" applyProtection="1">
      <alignment horizontal="center" vertical="center"/>
    </xf>
    <xf numFmtId="4" fontId="2" fillId="2" borderId="34" xfId="0" applyNumberFormat="1" applyFont="1" applyFill="1" applyBorder="1" applyAlignment="1" applyProtection="1">
      <alignment horizontal="center" vertical="center"/>
    </xf>
    <xf numFmtId="4" fontId="2" fillId="2" borderId="35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 applyProtection="1">
      <alignment horizontal="center" vertical="center" wrapText="1"/>
    </xf>
    <xf numFmtId="0" fontId="1" fillId="4" borderId="5" xfId="0" applyNumberFormat="1" applyFont="1" applyFill="1" applyBorder="1" applyAlignment="1" applyProtection="1">
      <alignment horizontal="center" vertical="center" wrapText="1"/>
    </xf>
    <xf numFmtId="3" fontId="2" fillId="3" borderId="3" xfId="1" applyNumberFormat="1" applyFont="1" applyFill="1" applyBorder="1" applyAlignment="1" applyProtection="1">
      <alignment horizontal="center" vertical="center" wrapText="1"/>
      <protection locked="0"/>
    </xf>
    <xf numFmtId="3" fontId="2" fillId="3" borderId="13" xfId="1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5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4" fontId="2" fillId="3" borderId="44" xfId="1" applyNumberFormat="1" applyFont="1" applyFill="1" applyBorder="1" applyAlignment="1" applyProtection="1">
      <alignment horizontal="center" vertical="center" wrapText="1"/>
      <protection locked="0"/>
    </xf>
    <xf numFmtId="4" fontId="2" fillId="3" borderId="45" xfId="1" applyNumberFormat="1" applyFont="1" applyFill="1" applyBorder="1" applyAlignment="1" applyProtection="1">
      <alignment horizontal="center" vertical="center" wrapText="1"/>
      <protection locked="0"/>
    </xf>
    <xf numFmtId="4" fontId="2" fillId="3" borderId="46" xfId="1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1" applyNumberFormat="1" applyFont="1" applyFill="1" applyBorder="1" applyAlignment="1" applyProtection="1">
      <alignment horizontal="center" vertical="center" wrapText="1"/>
    </xf>
    <xf numFmtId="0" fontId="2" fillId="0" borderId="5" xfId="1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Border="1" applyAlignment="1" applyProtection="1">
      <alignment horizontal="left" vertical="top"/>
    </xf>
    <xf numFmtId="0" fontId="10" fillId="0" borderId="11" xfId="0" applyNumberFormat="1" applyFont="1" applyBorder="1" applyAlignment="1" applyProtection="1">
      <alignment horizontal="left" vertical="top"/>
    </xf>
    <xf numFmtId="0" fontId="10" fillId="0" borderId="48" xfId="0" applyNumberFormat="1" applyFont="1" applyBorder="1" applyAlignment="1" applyProtection="1">
      <alignment horizontal="left" vertical="top"/>
    </xf>
    <xf numFmtId="3" fontId="2" fillId="2" borderId="3" xfId="0" applyNumberFormat="1" applyFont="1" applyFill="1" applyBorder="1" applyAlignment="1" applyProtection="1">
      <alignment horizontal="center" vertical="center" wrapText="1"/>
    </xf>
    <xf numFmtId="3" fontId="2" fillId="2" borderId="13" xfId="0" applyNumberFormat="1" applyFont="1" applyFill="1" applyBorder="1" applyAlignment="1" applyProtection="1">
      <alignment horizontal="center" vertical="center" wrapText="1"/>
    </xf>
    <xf numFmtId="3" fontId="2" fillId="2" borderId="5" xfId="0" applyNumberFormat="1" applyFont="1" applyFill="1" applyBorder="1" applyAlignment="1" applyProtection="1">
      <alignment horizontal="center" vertical="center" wrapText="1"/>
    </xf>
    <xf numFmtId="4" fontId="3" fillId="2" borderId="3" xfId="0" applyNumberFormat="1" applyFont="1" applyFill="1" applyBorder="1" applyAlignment="1" applyProtection="1">
      <alignment horizontal="center" vertical="center"/>
    </xf>
    <xf numFmtId="4" fontId="3" fillId="2" borderId="13" xfId="0" applyNumberFormat="1" applyFont="1" applyFill="1" applyBorder="1" applyAlignment="1" applyProtection="1">
      <alignment horizontal="center" vertical="center"/>
    </xf>
    <xf numFmtId="4" fontId="3" fillId="2" borderId="5" xfId="0" applyNumberFormat="1" applyFont="1" applyFill="1" applyBorder="1" applyAlignment="1" applyProtection="1">
      <alignment horizontal="center" vertical="center"/>
    </xf>
    <xf numFmtId="4" fontId="2" fillId="2" borderId="3" xfId="0" applyNumberFormat="1" applyFont="1" applyFill="1" applyBorder="1" applyAlignment="1" applyProtection="1">
      <alignment horizontal="center" vertical="center"/>
    </xf>
    <xf numFmtId="4" fontId="2" fillId="2" borderId="13" xfId="0" applyNumberFormat="1" applyFont="1" applyFill="1" applyBorder="1" applyAlignment="1" applyProtection="1">
      <alignment horizontal="center" vertical="center"/>
    </xf>
    <xf numFmtId="4" fontId="2" fillId="2" borderId="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4" borderId="7" xfId="0" applyNumberFormat="1" applyFont="1" applyFill="1" applyBorder="1" applyAlignment="1" applyProtection="1">
      <alignment horizontal="center" vertical="center" wrapText="1"/>
    </xf>
    <xf numFmtId="0" fontId="1" fillId="4" borderId="10" xfId="0" applyNumberFormat="1" applyFont="1" applyFill="1" applyBorder="1" applyAlignment="1" applyProtection="1">
      <alignment horizontal="center" vertical="center" wrapText="1"/>
    </xf>
    <xf numFmtId="3" fontId="2" fillId="2" borderId="37" xfId="0" applyNumberFormat="1" applyFont="1" applyFill="1" applyBorder="1" applyAlignment="1" applyProtection="1">
      <alignment horizontal="center" vertical="center"/>
    </xf>
    <xf numFmtId="3" fontId="2" fillId="2" borderId="38" xfId="0" applyNumberFormat="1" applyFont="1" applyFill="1" applyBorder="1" applyAlignment="1" applyProtection="1">
      <alignment horizontal="center" vertical="center"/>
    </xf>
    <xf numFmtId="4" fontId="2" fillId="2" borderId="39" xfId="0" applyNumberFormat="1" applyFont="1" applyFill="1" applyBorder="1" applyAlignment="1" applyProtection="1">
      <alignment horizontal="center" vertical="center"/>
    </xf>
    <xf numFmtId="4" fontId="2" fillId="2" borderId="40" xfId="0" applyNumberFormat="1" applyFont="1" applyFill="1" applyBorder="1" applyAlignment="1" applyProtection="1">
      <alignment horizontal="center" vertical="center"/>
    </xf>
    <xf numFmtId="4" fontId="2" fillId="2" borderId="38" xfId="0" applyNumberFormat="1" applyFont="1" applyFill="1" applyBorder="1" applyAlignment="1" applyProtection="1">
      <alignment horizontal="center" vertical="center"/>
    </xf>
    <xf numFmtId="4" fontId="2" fillId="3" borderId="32" xfId="1" applyNumberFormat="1" applyFont="1" applyFill="1" applyBorder="1" applyAlignment="1" applyProtection="1">
      <alignment horizontal="center" vertical="center" wrapText="1"/>
      <protection locked="0"/>
    </xf>
    <xf numFmtId="4" fontId="2" fillId="3" borderId="33" xfId="1" applyNumberFormat="1" applyFont="1" applyFill="1" applyBorder="1" applyAlignment="1" applyProtection="1">
      <alignment horizontal="center" vertical="center" wrapText="1"/>
      <protection locked="0"/>
    </xf>
    <xf numFmtId="4" fontId="2" fillId="3" borderId="38" xfId="1" applyNumberFormat="1" applyFont="1" applyFill="1" applyBorder="1" applyAlignment="1" applyProtection="1">
      <alignment horizontal="center" vertical="center" wrapText="1"/>
      <protection locked="0"/>
    </xf>
    <xf numFmtId="4" fontId="2" fillId="2" borderId="37" xfId="0" applyNumberFormat="1" applyFont="1" applyFill="1" applyBorder="1" applyAlignment="1" applyProtection="1">
      <alignment horizontal="right" vertical="center"/>
    </xf>
    <xf numFmtId="4" fontId="2" fillId="2" borderId="33" xfId="0" applyNumberFormat="1" applyFont="1" applyFill="1" applyBorder="1" applyAlignment="1" applyProtection="1">
      <alignment horizontal="right" vertical="center"/>
    </xf>
    <xf numFmtId="4" fontId="2" fillId="2" borderId="38" xfId="0" applyNumberFormat="1" applyFont="1" applyFill="1" applyBorder="1" applyAlignment="1" applyProtection="1">
      <alignment horizontal="right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5" fillId="6" borderId="3" xfId="0" applyNumberFormat="1" applyFont="1" applyFill="1" applyBorder="1" applyAlignment="1" applyProtection="1">
      <alignment horizontal="center" vertical="center" wrapText="1"/>
    </xf>
    <xf numFmtId="0" fontId="5" fillId="6" borderId="5" xfId="0" applyNumberFormat="1" applyFont="1" applyFill="1" applyBorder="1" applyAlignment="1" applyProtection="1">
      <alignment horizontal="center" vertical="center" wrapText="1"/>
    </xf>
    <xf numFmtId="0" fontId="1" fillId="4" borderId="37" xfId="0" applyNumberFormat="1" applyFont="1" applyFill="1" applyBorder="1" applyAlignment="1" applyProtection="1">
      <alignment horizontal="center" vertical="center" wrapText="1"/>
    </xf>
    <xf numFmtId="0" fontId="1" fillId="4" borderId="33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3" fontId="2" fillId="2" borderId="3" xfId="0" applyNumberFormat="1" applyFont="1" applyFill="1" applyBorder="1" applyAlignment="1" applyProtection="1">
      <alignment horizontal="center" vertical="center"/>
    </xf>
    <xf numFmtId="3" fontId="2" fillId="2" borderId="13" xfId="0" applyNumberFormat="1" applyFont="1" applyFill="1" applyBorder="1" applyAlignment="1" applyProtection="1">
      <alignment horizontal="center" vertical="center"/>
    </xf>
    <xf numFmtId="3" fontId="2" fillId="2" borderId="5" xfId="0" applyNumberFormat="1" applyFont="1" applyFill="1" applyBorder="1" applyAlignment="1" applyProtection="1">
      <alignment horizontal="center" vertical="center"/>
    </xf>
    <xf numFmtId="49" fontId="12" fillId="6" borderId="59" xfId="1" applyFont="1" applyFill="1" applyBorder="1" applyAlignment="1">
      <alignment horizontal="center" vertical="center"/>
    </xf>
    <xf numFmtId="49" fontId="12" fillId="6" borderId="60" xfId="1" applyFont="1" applyFill="1" applyBorder="1" applyAlignment="1">
      <alignment horizontal="center" vertical="center"/>
    </xf>
    <xf numFmtId="49" fontId="12" fillId="6" borderId="61" xfId="1" applyFont="1" applyFill="1" applyBorder="1" applyAlignment="1">
      <alignment horizontal="center" vertical="center"/>
    </xf>
    <xf numFmtId="49" fontId="12" fillId="0" borderId="0" xfId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12" fillId="0" borderId="0" xfId="1" applyFont="1" applyAlignment="1">
      <alignment horizontal="center" vertical="center"/>
    </xf>
    <xf numFmtId="4" fontId="2" fillId="3" borderId="44" xfId="1" applyNumberFormat="1" applyFont="1" applyFill="1" applyBorder="1" applyAlignment="1" applyProtection="1">
      <alignment horizontal="right" vertical="center" wrapText="1"/>
      <protection locked="0"/>
    </xf>
    <xf numFmtId="4" fontId="2" fillId="3" borderId="45" xfId="1" applyNumberFormat="1" applyFont="1" applyFill="1" applyBorder="1" applyAlignment="1" applyProtection="1">
      <alignment horizontal="right" vertical="center" wrapText="1"/>
      <protection locked="0"/>
    </xf>
    <xf numFmtId="4" fontId="2" fillId="3" borderId="46" xfId="1" applyNumberFormat="1" applyFont="1" applyFill="1" applyBorder="1" applyAlignment="1" applyProtection="1">
      <alignment horizontal="right" vertical="center" wrapText="1"/>
      <protection locked="0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0" fillId="7" borderId="2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7" xfId="0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0" fillId="0" borderId="53" xfId="0" applyBorder="1" applyAlignment="1">
      <alignment horizontal="center" vertical="top" wrapText="1"/>
    </xf>
    <xf numFmtId="0" fontId="6" fillId="0" borderId="5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2" fillId="4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Border="1" applyAlignment="1" applyProtection="1">
      <alignment horizontal="center" vertical="center" wrapText="1"/>
    </xf>
    <xf numFmtId="0" fontId="2" fillId="6" borderId="1" xfId="0" applyNumberFormat="1" applyFont="1" applyFill="1" applyBorder="1" applyAlignment="1" applyProtection="1">
      <alignment horizontal="center" vertical="center" wrapText="1"/>
    </xf>
    <xf numFmtId="0" fontId="2" fillId="6" borderId="3" xfId="0" applyNumberFormat="1" applyFont="1" applyFill="1" applyBorder="1" applyAlignment="1" applyProtection="1">
      <alignment horizontal="center" vertical="center" wrapText="1"/>
    </xf>
    <xf numFmtId="0" fontId="2" fillId="4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Border="1" applyAlignment="1" applyProtection="1">
      <alignment horizontal="center" vertical="center" wrapText="1"/>
    </xf>
    <xf numFmtId="0" fontId="2" fillId="6" borderId="5" xfId="0" applyNumberFormat="1" applyFont="1" applyFill="1" applyBorder="1" applyAlignment="1" applyProtection="1">
      <alignment horizontal="center" vertical="center" wrapText="1"/>
    </xf>
  </cellXfs>
  <cellStyles count="3">
    <cellStyle name="Обычный" xfId="0" builtinId="0"/>
    <cellStyle name="Обычный 2" xfId="1" xr:uid="{00000000-0005-0000-0000-000002000000}"/>
    <cellStyle name="Процентный" xfId="2" builtinId="5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676275</xdr:colOff>
      <xdr:row>3</xdr:row>
      <xdr:rowOff>85725</xdr:rowOff>
    </xdr:to>
    <xdr:pic macro="[1]!modUIButtons.SWITCH_MODE">
      <xdr:nvPicPr>
        <xdr:cNvPr id="3" name="COMPACT_MODE" descr="update_org.png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04800"/>
          <a:ext cx="9715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2</xdr:row>
      <xdr:rowOff>0</xdr:rowOff>
    </xdr:from>
    <xdr:ext cx="971550" cy="390525"/>
    <xdr:pic macro="[1]!modUIButtons.SWITCH_MODE">
      <xdr:nvPicPr>
        <xdr:cNvPr id="4" name="COMPACT_MODE" descr="update_org.png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875"/>
          <a:ext cx="9715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971550" cy="390525"/>
    <xdr:pic macro="[1]!modUIButtons.SWITCH_MODE">
      <xdr:nvPicPr>
        <xdr:cNvPr id="5" name="COMPACT_MODE" descr="update_org.png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714375"/>
          <a:ext cx="9715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971550" cy="390525"/>
    <xdr:pic macro="[1]!modUIButtons.SWITCH_MODE">
      <xdr:nvPicPr>
        <xdr:cNvPr id="6" name="COMPACT_MODE" descr="update_org.png" hidden="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714375"/>
          <a:ext cx="9715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1</xdr:row>
      <xdr:rowOff>0</xdr:rowOff>
    </xdr:from>
    <xdr:ext cx="971550" cy="390525"/>
    <xdr:pic macro="[1]!modUIButtons.SWITCH_MODE">
      <xdr:nvPicPr>
        <xdr:cNvPr id="7" name="COMPACT_MODE" descr="update_org.png" hidden="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381000"/>
          <a:ext cx="9715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0</xdr:colOff>
      <xdr:row>1</xdr:row>
      <xdr:rowOff>0</xdr:rowOff>
    </xdr:from>
    <xdr:ext cx="971550" cy="390525"/>
    <xdr:pic macro="[1]!modUIButtons.SWITCH_MODE">
      <xdr:nvPicPr>
        <xdr:cNvPr id="8" name="COMPACT_MODE" descr="update_org.png" hidden="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90500"/>
          <a:ext cx="9715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7;&#1040;&#1055;&#1040;&#1057;&#1067;%20&#1058;&#1054;&#1055;&#1051;&#1048;&#1042;&#1040;/MINENERGO.NORM.ZAPAS.TES.2018_&#1084;&#1072;&#1082;&#1077;&#1090;%20&#1088;&#1072;&#1073;&#1086;&#1095;&#1080;&#1081;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7;&#1040;&#1055;&#1040;&#1057;&#1067;%20&#1058;&#1054;&#1055;&#1051;&#1048;&#1042;&#1040;/&#1053;&#1086;&#1074;&#1072;&#1103;%20&#1087;&#1072;&#1087;&#1082;&#1072;/MINENERGO.NORM.ZAPAS.TES.2018%20&#8212;%20&#1082;&#1086;&#1087;&#1080;&#1103;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modInstruction"/>
      <sheetName val="Лог обновления"/>
      <sheetName val="modInfo"/>
      <sheetName val="EXTENDED_RST_DIC"/>
      <sheetName val="modfrmAttachLocalDocument"/>
      <sheetName val="modfrmAttachURLDocument"/>
      <sheetName val="modAttachDocs"/>
      <sheetName val="modFolder"/>
      <sheetName val="modOpen"/>
      <sheetName val="DICTIONARIES"/>
      <sheetName val="modInjectData"/>
      <sheetName val="modfrmZTESCheckInIsInProgress"/>
      <sheetName val="modfrmZTESUpdateIsInProgress"/>
      <sheetName val="ZTES_TITLE"/>
      <sheetName val="ZTES_DOCS"/>
      <sheetName val="ZTES_PARAM_TES"/>
      <sheetName val="ZTES_PARAM_TES_FUELS"/>
      <sheetName val="ZTES_TES"/>
      <sheetName val="ZTES_FUEL_SPL_GRD"/>
      <sheetName val="ZTES_FUEL_SPL_GRD_D"/>
      <sheetName val="ZTES_FUEL_SPL"/>
      <sheetName val="ZTES_FUEL_SPL_D"/>
      <sheetName val="ZTES_FUEL_STRG_D"/>
      <sheetName val="ZTES_FUEL_NNZT_CNSMR"/>
      <sheetName val="ZTES_FUEL_NNZT"/>
      <sheetName val="ZTES_FUEL_NNZT_MONTHLY"/>
      <sheetName val="ZTES_FUEL_NEZT"/>
      <sheetName val="ZTES_FUEL_NEZT_MONTHLY"/>
      <sheetName val="ZTES_FUEL_NEZT_R"/>
      <sheetName val="ZTES_FUEL_NEZT_R_D"/>
      <sheetName val="ZTES_FUEL_NVZT"/>
      <sheetName val="ZTES_FUEL_NVZT_MONTHLY"/>
      <sheetName val="ZTES_FUEL_NAZT"/>
      <sheetName val="ZTES_FUEL_NAZT_MONTHLY"/>
      <sheetName val="ZTES_FUEL_REPORT_1"/>
      <sheetName val="ZTES_FUEL_REPORT_2"/>
      <sheetName val="ZTES_FUEL_REPORT_3"/>
      <sheetName val="PSPT_TES"/>
      <sheetName val="PSPT_TES_KTL"/>
      <sheetName val="PSPT_TES_EQP"/>
      <sheetName val="PSPT_FUEL_DATA"/>
      <sheetName val="PSPT_FUEL"/>
      <sheetName val="PSPT_FUEL_NAME"/>
      <sheetName val="PSPT_FUEL_GRADE"/>
      <sheetName val="TECHSHEET"/>
      <sheetName val="TECH_TES_CONTROL"/>
      <sheetName val="Титульный"/>
      <sheetName val="Заявление"/>
      <sheetName val="Документы"/>
      <sheetName val="Параметры ТЭС"/>
      <sheetName val="ТЭС"/>
      <sheetName val="Топливо"/>
      <sheetName val="Данные"/>
      <sheetName val="Настройка расчёта ННЗТ и НЭЗТ"/>
      <sheetName val="Теплота сгорания топлива"/>
      <sheetName val="Поставки топлива по маркам"/>
      <sheetName val="Поставки топлива"/>
      <sheetName val="Хранение"/>
      <sheetName val="Потребители для ННЗТ"/>
      <sheetName val="ННЗТ"/>
      <sheetName val="Доп. расчёт ННЗТ"/>
      <sheetName val="ННЗТ (по месяцам)"/>
      <sheetName val="НЭЗТ (новый)"/>
      <sheetName val="НЭЗТ"/>
      <sheetName val="НЭЗТ (замещение)"/>
      <sheetName val="НЭЗТ (по месяцам)"/>
      <sheetName val="TECH_HORISONTAL_CALC"/>
      <sheetName val="TECH_HORISONTAL_REPORT"/>
      <sheetName val="НВЗТ"/>
      <sheetName val="НВЗТ (по месяцам)"/>
      <sheetName val="НАЗТ"/>
      <sheetName val="НАЗТ (по месяцам)"/>
      <sheetName val="Критичность ТЭС"/>
      <sheetName val="Надежность"/>
      <sheetName val="Отчёт"/>
      <sheetName val="Отчёт утв. нормативы"/>
      <sheetName val="Отчёт факт. запасы"/>
      <sheetName val="Отчёт факт. использование"/>
      <sheetName val="Топливо (пред. периоды)"/>
      <sheetName val="Комментарии"/>
      <sheetName val="Проверка"/>
      <sheetName val="modfrmReestr"/>
      <sheetName val="modGetGeoBase"/>
      <sheetName val="REESTR_MO"/>
      <sheetName val="REESTR_LOCATION"/>
      <sheetName val="modSheetTitle"/>
      <sheetName val="modVLDProv"/>
      <sheetName val="modVLDIntegrityProv"/>
      <sheetName val="modVLDCommonProv"/>
      <sheetName val="modVLDProvGeneralProc"/>
      <sheetName val="modfrmRegion"/>
      <sheetName val="modUpdTemplMain"/>
      <sheetName val="modCommonProcedures"/>
      <sheetName val="modHLIcons"/>
      <sheetName val="modfrmDateChoose"/>
      <sheetName val="modRequestSpecificData"/>
      <sheetName val="modRequestGenericData"/>
      <sheetName val="modUIButtons"/>
      <sheetName val="modDOCS"/>
      <sheetName val="modControlTES"/>
      <sheetName val="modTES"/>
      <sheetName val="modFuel"/>
      <sheetName val="modFuelData"/>
      <sheetName val="modFuelSupply"/>
      <sheetName val="modFuelSupplyGrade"/>
      <sheetName val="modFuelStorage"/>
      <sheetName val="modConsumers"/>
      <sheetName val="modFuelNNZT"/>
      <sheetName val="modFuelNEZT"/>
      <sheetName val="modFuelNVZT"/>
      <sheetName val="modFuelNAZT"/>
      <sheetName val="modFuelNNZTMonthly"/>
      <sheetName val="modFuelNEZTMonthly"/>
      <sheetName val="modFuelNVZTMonthly"/>
      <sheetName val="modFuelNAZTMonthly"/>
      <sheetName val="modFuelNEZTReplace"/>
      <sheetName val="modFuelNNZTExtended"/>
      <sheetName val="modFuelNNZTNVZTMonthly"/>
      <sheetName val="modReport_0"/>
      <sheetName val="modReport_1"/>
      <sheetName val="modReport_2"/>
      <sheetName val="modReport_3"/>
      <sheetName val="modFuelUnsupported"/>
      <sheetName val="modfrmFuelSupplyMethods"/>
      <sheetName val="modfrmFuelTransferMethods"/>
      <sheetName val="modfrmEquipment"/>
      <sheetName val="modfrmMonthlyCalculation"/>
      <sheetName val="modIHLCommandBar"/>
      <sheetName val="modfrmCheckUpdates"/>
      <sheetName val="AUTHORISATION"/>
      <sheetName val="modfrmPSPTCheckInIsInProgress"/>
      <sheetName val="modfrmPSPTUpdateIsInProgress"/>
      <sheetName val="Сравнение документов"/>
      <sheetName val="MINENERGO.NORM.ZAPAS.TES"/>
    </sheetNames>
    <definedNames>
      <definedName name="modUIButtons.SWITCH_MODE"/>
    </definedNames>
    <sheetDataSet>
      <sheetData sheetId="0">
        <row r="3">
          <cell r="B3" t="str">
            <v>Версия 1.0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">
          <cell r="F1" t="str">
            <v>да</v>
          </cell>
        </row>
        <row r="2">
          <cell r="F2" t="str">
            <v>нет</v>
          </cell>
          <cell r="O2" t="str">
            <v>Январь</v>
          </cell>
          <cell r="S2" t="str">
            <v>отсутствует</v>
          </cell>
          <cell r="U2" t="str">
            <v>по графику</v>
          </cell>
          <cell r="V2" t="str">
            <v>по графику</v>
          </cell>
        </row>
        <row r="3">
          <cell r="O3" t="str">
            <v>Февраль</v>
          </cell>
          <cell r="S3" t="str">
            <v>ссылка на документ</v>
          </cell>
          <cell r="U3" t="str">
            <v>иное</v>
          </cell>
          <cell r="V3" t="str">
            <v>иное</v>
          </cell>
        </row>
        <row r="4">
          <cell r="O4" t="str">
            <v>Март</v>
          </cell>
          <cell r="V4" t="str">
            <v>не рассчитывать</v>
          </cell>
        </row>
        <row r="5">
          <cell r="O5" t="str">
            <v>Апрель</v>
          </cell>
        </row>
        <row r="6">
          <cell r="O6" t="str">
            <v>Май</v>
          </cell>
        </row>
        <row r="7">
          <cell r="O7" t="str">
            <v>Июнь</v>
          </cell>
        </row>
        <row r="8">
          <cell r="O8" t="str">
            <v>Июль</v>
          </cell>
        </row>
        <row r="9">
          <cell r="O9" t="str">
            <v>Август</v>
          </cell>
        </row>
        <row r="10">
          <cell r="O10" t="str">
            <v>Сентябрь</v>
          </cell>
        </row>
        <row r="11">
          <cell r="N11">
            <v>2018</v>
          </cell>
          <cell r="O11" t="str">
            <v>Октябрь</v>
          </cell>
        </row>
        <row r="12">
          <cell r="G12" t="str">
            <v>RESERVES</v>
          </cell>
          <cell r="N12">
            <v>2019</v>
          </cell>
          <cell r="O12" t="str">
            <v>Ноябрь</v>
          </cell>
        </row>
        <row r="13">
          <cell r="K13" t="str">
            <v>Расчёт нормативов технологических потерь при передаче тепловой энергии, теплоносителя по тепловым сетям, расположенным в поселениях, городских округах с численностью населения 500 тысяч человек и более, а также в городах федерального значения Москве и Санкт-Петербурге</v>
          </cell>
          <cell r="N13">
            <v>2020</v>
          </cell>
          <cell r="O13" t="str">
            <v>Декабрь</v>
          </cell>
          <cell r="S13">
            <v>2013</v>
          </cell>
        </row>
        <row r="14">
          <cell r="K14" t="str">
            <v>Расчёт нормативов создания запасов топлива при производстве электрической энергии, а также нормативов запасов топлива на источниках тепловой энергии при производстве электрической и тепловой энергии в режиме комбинированной выработки электрической и тепловой энергии с установленной мощностью производства электрической энергии 25 мегаватт и более</v>
          </cell>
          <cell r="S14">
            <v>2014</v>
          </cell>
        </row>
        <row r="15">
          <cell r="S15">
            <v>2015</v>
          </cell>
        </row>
        <row r="16">
          <cell r="S16">
            <v>2016</v>
          </cell>
        </row>
        <row r="17">
          <cell r="S17">
            <v>2017</v>
          </cell>
        </row>
        <row r="18">
          <cell r="S18" t="str">
            <v>2018</v>
          </cell>
        </row>
        <row r="27">
          <cell r="S27" t="str">
            <v>основное</v>
          </cell>
          <cell r="U27" t="str">
            <v>Дизель</v>
          </cell>
        </row>
        <row r="28">
          <cell r="S28" t="str">
            <v>резервное</v>
          </cell>
          <cell r="U28" t="str">
            <v>Доменный газ</v>
          </cell>
        </row>
        <row r="29">
          <cell r="K29" t="str">
            <v>Собственность</v>
          </cell>
          <cell r="S29" t="str">
            <v>вспомогательное</v>
          </cell>
          <cell r="U29" t="str">
            <v>Коксовый газ</v>
          </cell>
        </row>
        <row r="30">
          <cell r="K30" t="str">
            <v>Аренда</v>
          </cell>
          <cell r="U30" t="str">
            <v>Мазут</v>
          </cell>
        </row>
        <row r="31">
          <cell r="K31" t="str">
            <v>Хозяйственное ведение</v>
          </cell>
          <cell r="U31" t="str">
            <v>Нефть</v>
          </cell>
        </row>
        <row r="32">
          <cell r="K32" t="str">
            <v>Оперативное управление</v>
          </cell>
          <cell r="U32" t="str">
            <v>Нефтяной (попутный) газ</v>
          </cell>
        </row>
        <row r="33">
          <cell r="K33" t="str">
            <v>Безвозмездное пользование</v>
          </cell>
          <cell r="U33" t="str">
            <v>Природный газ</v>
          </cell>
        </row>
        <row r="34">
          <cell r="K34" t="str">
            <v>Концессионное соглашение</v>
          </cell>
          <cell r="U34" t="str">
            <v>Торф</v>
          </cell>
        </row>
        <row r="35">
          <cell r="K35" t="str">
            <v>Лизинг</v>
          </cell>
          <cell r="U35" t="str">
            <v>Уголь</v>
          </cell>
        </row>
        <row r="36">
          <cell r="K36" t="str">
            <v>Доверительное управление имуществом</v>
          </cell>
        </row>
        <row r="37">
          <cell r="K37" t="str">
            <v>Возмездное оказание услуг</v>
          </cell>
        </row>
        <row r="52">
          <cell r="K52" t="str">
            <v>ПГУ</v>
          </cell>
          <cell r="S52" t="str">
            <v>основное</v>
          </cell>
          <cell r="U52" t="str">
            <v>Авиационный керосин</v>
          </cell>
        </row>
        <row r="53">
          <cell r="K53" t="str">
            <v>ГТУ</v>
          </cell>
          <cell r="S53" t="str">
            <v>резервное</v>
          </cell>
          <cell r="U53" t="str">
            <v>Газотурбинное топливо</v>
          </cell>
        </row>
        <row r="54">
          <cell r="S54" t="str">
            <v>аварийное</v>
          </cell>
          <cell r="U54" t="str">
            <v>Дизель</v>
          </cell>
        </row>
        <row r="55">
          <cell r="U55" t="str">
            <v>Природный газ</v>
          </cell>
        </row>
        <row r="58">
          <cell r="K58" t="str">
            <v>утверждены</v>
          </cell>
        </row>
        <row r="59">
          <cell r="K59" t="str">
            <v>требуется расчёт</v>
          </cell>
        </row>
        <row r="60">
          <cell r="K60" t="str">
            <v>расчёт не требуется</v>
          </cell>
        </row>
        <row r="65">
          <cell r="K65" t="str">
            <v>URL-ссылки на хранилище документов https://ztes-norm.minenergo.gov.ru</v>
          </cell>
        </row>
        <row r="66">
          <cell r="K66" t="str">
            <v>локальное хранилище</v>
          </cell>
        </row>
      </sheetData>
      <sheetData sheetId="46"/>
      <sheetData sheetId="47">
        <row r="12">
          <cell r="F12" t="str">
            <v>2018</v>
          </cell>
        </row>
        <row r="14">
          <cell r="F14" t="str">
            <v>2018</v>
          </cell>
        </row>
        <row r="45">
          <cell r="F45" t="str">
            <v/>
          </cell>
        </row>
        <row r="46">
          <cell r="F46" t="str">
            <v/>
          </cell>
        </row>
        <row r="48">
          <cell r="F48" t="str">
            <v/>
          </cell>
        </row>
        <row r="49">
          <cell r="F49" t="str">
            <v/>
          </cell>
        </row>
        <row r="50">
          <cell r="F50" t="str">
            <v/>
          </cell>
        </row>
        <row r="51">
          <cell r="F51" t="str">
            <v/>
          </cell>
        </row>
        <row r="52">
          <cell r="F52" t="str">
            <v/>
          </cell>
        </row>
        <row r="53">
          <cell r="F53" t="str">
            <v/>
          </cell>
        </row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</sheetData>
      <sheetData sheetId="48"/>
      <sheetData sheetId="49"/>
      <sheetData sheetId="50"/>
      <sheetData sheetId="51">
        <row r="11">
          <cell r="BK11" t="str">
            <v>нет</v>
          </cell>
        </row>
      </sheetData>
      <sheetData sheetId="52"/>
      <sheetData sheetId="53"/>
      <sheetData sheetId="54">
        <row r="16">
          <cell r="L16">
            <v>2017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modInstruction"/>
      <sheetName val="Лог обновления"/>
      <sheetName val="modInfo"/>
      <sheetName val="EXTENDED_RST_DIC"/>
      <sheetName val="modfrmAttachLocalDocument"/>
      <sheetName val="modfrmAttachURLDocument"/>
      <sheetName val="modAttachDocs"/>
      <sheetName val="modFolder"/>
      <sheetName val="modOpen"/>
      <sheetName val="DICTIONARIES"/>
      <sheetName val="modInjectData"/>
      <sheetName val="modfrmZTESCheckInIsInProgress"/>
      <sheetName val="modfrmZTESUpdateIsInProgress"/>
      <sheetName val="ZTES_TITLE"/>
      <sheetName val="ZTES_DOCS"/>
      <sheetName val="ZTES_PARAM_TES"/>
      <sheetName val="ZTES_PARAM_TES_FUELS"/>
      <sheetName val="ZTES_TES"/>
      <sheetName val="ZTES_FUEL_SPL_GRD"/>
      <sheetName val="ZTES_FUEL_SPL_GRD_D"/>
      <sheetName val="ZTES_FUEL_SPL"/>
      <sheetName val="ZTES_FUEL_SPL_D"/>
      <sheetName val="ZTES_FUEL_STRG_D"/>
      <sheetName val="ZTES_FUEL_NNZT_CNSMR"/>
      <sheetName val="ZTES_FUEL_NNZT"/>
      <sheetName val="ZTES_FUEL_NNZT_MONTHLY"/>
      <sheetName val="ZTES_FUEL_NEZT"/>
      <sheetName val="ZTES_FUEL_NEZT_MONTHLY"/>
      <sheetName val="ZTES_FUEL_NEZT_R"/>
      <sheetName val="ZTES_FUEL_NEZT_R_D"/>
      <sheetName val="ZTES_FUEL_NVZT"/>
      <sheetName val="ZTES_FUEL_NVZT_MONTHLY"/>
      <sheetName val="ZTES_FUEL_NAZT"/>
      <sheetName val="ZTES_FUEL_NAZT_MONTHLY"/>
      <sheetName val="ZTES_FUEL_REPORT_1"/>
      <sheetName val="ZTES_FUEL_REPORT_2"/>
      <sheetName val="ZTES_FUEL_REPORT_3"/>
      <sheetName val="PSPT_TES"/>
      <sheetName val="PSPT_TES_KTL"/>
      <sheetName val="PSPT_TES_EQP"/>
      <sheetName val="PSPT_FUEL_DATA"/>
      <sheetName val="PSPT_FUEL"/>
      <sheetName val="PSPT_FUEL_NAME"/>
      <sheetName val="PSPT_FUEL_GRADE"/>
      <sheetName val="TECHSHEET"/>
      <sheetName val="TECH_TES_CONTROL"/>
      <sheetName val="TECH_HORISONTAL_CALC"/>
      <sheetName val="TECH_HORISONTAL_REPORT"/>
      <sheetName val="Титульный"/>
      <sheetName val="Заявление"/>
      <sheetName val="Документы"/>
      <sheetName val="Параметры ТЭС"/>
      <sheetName val="ТЭС"/>
      <sheetName val="Топливо"/>
      <sheetName val="Данные"/>
      <sheetName val="Настройка расчёта ННЗТ и НЭЗТ"/>
      <sheetName val="Поставки топлива по маркам"/>
      <sheetName val="Поставки топлива"/>
      <sheetName val="Хранение"/>
      <sheetName val="Потребители для ННЗТ"/>
      <sheetName val="ННЗТ"/>
      <sheetName val="Доп. расчёт ННЗТ"/>
      <sheetName val="ННЗТ (по месяцам)"/>
      <sheetName val="НЭЗТ"/>
      <sheetName val="НЭЗТ (замещение)"/>
      <sheetName val="НЭЗТ (по месяцам)"/>
      <sheetName val="НВЗТ"/>
      <sheetName val="НВЗТ (по месяцам)"/>
      <sheetName val="НАЗТ"/>
      <sheetName val="НАЗТ (по месяцам)"/>
      <sheetName val="Отчёт"/>
      <sheetName val="Отчёт утв. нормативы"/>
      <sheetName val="Отчёт факт. запасы"/>
      <sheetName val="Отчёт факт. использование"/>
      <sheetName val="Топливо (пред. периоды)"/>
      <sheetName val="Комментарии"/>
      <sheetName val="Проверка"/>
      <sheetName val="modfrmReestr"/>
      <sheetName val="modGetGeoBase"/>
      <sheetName val="REESTR_MO"/>
      <sheetName val="REESTR_LOCATION"/>
      <sheetName val="modSheetTitle"/>
      <sheetName val="modVLDProv"/>
      <sheetName val="modVLDIntegrityProv"/>
      <sheetName val="modVLDCommonProv"/>
      <sheetName val="modVLDProvGeneralProc"/>
      <sheetName val="modfrmRegion"/>
      <sheetName val="modUpdTemplMain"/>
      <sheetName val="modCommonProcedures"/>
      <sheetName val="modHLIcons"/>
      <sheetName val="modfrmDateChoose"/>
      <sheetName val="modRequestSpecificData"/>
      <sheetName val="modRequestGenericData"/>
      <sheetName val="modUIButtons"/>
      <sheetName val="modDOCS"/>
      <sheetName val="modControlTES"/>
      <sheetName val="modTES"/>
      <sheetName val="modFuel"/>
      <sheetName val="modFuelData"/>
      <sheetName val="modFuelSupply"/>
      <sheetName val="modFuelSupplyGrade"/>
      <sheetName val="modFuelStorage"/>
      <sheetName val="modConsumers"/>
      <sheetName val="modFuelNNZT"/>
      <sheetName val="modFuelNEZT"/>
      <sheetName val="modFuelNVZT"/>
      <sheetName val="modFuelNAZT"/>
      <sheetName val="modFuelNNZTMonthly"/>
      <sheetName val="modFuelNEZTMonthly"/>
      <sheetName val="modFuelNVZTMonthly"/>
      <sheetName val="modFuelNAZTMonthly"/>
      <sheetName val="modFuelNEZTReplace"/>
      <sheetName val="modFuelNNZTExtended"/>
      <sheetName val="modFuelNNZTNVZTMonthly"/>
      <sheetName val="modReport_0"/>
      <sheetName val="modReport_1"/>
      <sheetName val="modReport_2"/>
      <sheetName val="modReport_3"/>
      <sheetName val="modFuelUnsupported"/>
      <sheetName val="modfrmFuelSupplyMethods"/>
      <sheetName val="modfrmFuelTransferMethods"/>
      <sheetName val="modfrmEquipment"/>
      <sheetName val="modfrmMonthlyCalculation"/>
      <sheetName val="modIHLCommandBar"/>
      <sheetName val="modfrmCheckUpdates"/>
      <sheetName val="AUTHORISATION"/>
      <sheetName val="modfrmPSPTCheckInIsInProgress"/>
      <sheetName val="modfrmPSPTUpdateIsInProgress"/>
      <sheetName val="Сравнение документо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52">
          <cell r="W52" t="str">
            <v>Авиационный керосин</v>
          </cell>
        </row>
        <row r="53">
          <cell r="W53" t="str">
            <v>Газотурбинное топливо</v>
          </cell>
        </row>
        <row r="54">
          <cell r="W54" t="str">
            <v>Дизель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persons/person.xml><?xml version="1.0" encoding="utf-8"?>
<sc:personList xmlns:sc="http://schemas.microsoft.com/office/spreadsheetml/2018/threadedcomments">
  <sc:person displayName="Автор" id="{751C3B00-9EF5-4AB1-AF72-DCCB6F5880B3}" providerId="None"/>
</s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3.xml><?xml version="1.0" encoding="utf-8"?>
<sc:ThreadedComments xmlns:sc="http://schemas.microsoft.com/office/spreadsheetml/2018/threadedcomments">
  <sc:threadedComment ref="G4" personId="{751C3B00-9EF5-4AB1-AF72-DCCB6F5880B3}" id="{DC36EF60-6236-4FCB-849E-E76D16E00577}">
    <sc:text>Для выцбора нескольких видов доставки необходимо отметить галочкой "Комбинированная доставка". После - выбрать необходимые виды доставок
</sc:text>
  </sc:threadedComment>
  <sc:threadedComment ref="M4" personId="{751C3B00-9EF5-4AB1-AF72-DCCB6F5880B3}" id="{2B7EBA9C-E587-4BB1-96DD-54063DF70AD5}">
    <sc:text>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 </sc:text>
  </sc:threadedComment>
  <sc:threadedComment ref="W4" personId="{751C3B00-9EF5-4AB1-AF72-DCCB6F5880B3}" id="{479B8BD4-CC4E-41A1-8AD6-27B4E85BE475}">
    <sc:text>Среднее значение сожженого топлива за 3 года или по данным последних замеров в случае отсутствия сжигания в последние годы</sc:text>
  </sc:threadedComment>
  <sc:threadedComment ref="X4" personId="{751C3B00-9EF5-4AB1-AF72-DCCB6F5880B3}" id="{01DFB1BA-BDAC-44F4-A1AA-6794B0EED209}">
    <sc:text>Среднее значение сожженого топлива за 3 года или по данным последних замеров в случае отсутствия сжигания в последние годы</sc:text>
  </sc:threadedComment>
  <sc:threadedComment ref="AD4" personId="{751C3B00-9EF5-4AB1-AF72-DCCB6F5880B3}" id="{90F340DB-96E5-471D-95AD-083C3734025E}">
    <sc:text>При отсутствии фактических данных за год, предшествующий планируемому, могут быть приняты значения, указанные в прогнозном объеме производства тепловой и (или) электрической энергии</sc:text>
  </sc:threadedComment>
  <sc:threadedComment ref="AH4" personId="{751C3B00-9EF5-4AB1-AF72-DCCB6F5880B3}" id="{8E5080A3-C35F-45BF-8EFC-AD635F8F474F}">
    <sc:text>Должен определяться в соответствии с нормативно-технической документацией по топливоиспользованию ТЭС. При отсутствии информации о необходимых режимах должен определяться по тепловому балансу в соответствии с РД.34.08.552-95</sc:text>
  </sc:threadedComment>
  <sc:threadedComment ref="AI4" personId="{751C3B00-9EF5-4AB1-AF72-DCCB6F5880B3}" id="{81FB9290-2B5F-4088-A996-6D027AE9B0AD}">
    <sc:text>Должен определяться в соответствии с нормативно-технической документацией по топливоиспользованию ТЭС. При отсутствии информации о необходимых режимах должен определяться по тепловому балансу в соответствии с РД.34.08.552-95</sc:text>
  </sc:threadedComment>
</sc:ThreadedComments>
</file>

<file path=xl/threadedComments/threadedComment4.xml><?xml version="1.0" encoding="utf-8"?>
<sc:ThreadedComments xmlns:sc="http://schemas.microsoft.com/office/spreadsheetml/2018/threadedcomments">
  <sc:threadedComment ref="I7" personId="{751C3B00-9EF5-4AB1-AF72-DCCB6F5880B3}" id="{5E021FF3-51FD-4061-9A86-60A5BB877B97}">
    <sc:text>Определяется по последнему зимнему контрольному замеру потокораспределения, нагрузок и уровней напряжения на объектах электроэнергетики </sc:text>
  </sc:threadedComment>
  <sc:threadedComment ref="J7" personId="{751C3B00-9EF5-4AB1-AF72-DCCB6F5880B3}" id="{2E4E655D-2C2C-453B-8FA8-17CB2CFAD18C}">
    <sc:text>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</sc:text>
  </sc:threadedComment>
</sc:ThreadedComments>
</file>

<file path=xl/threadedComments/threadedComment6.xml><?xml version="1.0" encoding="utf-8"?>
<sc:ThreadedComments xmlns:sc="http://schemas.microsoft.com/office/spreadsheetml/2018/threadedcomments">
  <sc:threadedComment ref="F4" personId="{751C3B00-9EF5-4AB1-AF72-DCCB6F5880B3}" id="{6A80D712-C1DA-4820-BB70-1628A31892F7}">
    <sc:text>Определяется в соответствии с проектной документацией на оборудование ПГУ, ГТУ</sc:text>
  </sc:threadedComment>
  <sc:threadedComment ref="G4" personId="{751C3B00-9EF5-4AB1-AF72-DCCB6F5880B3}" id="{296108AC-2161-430F-8A5F-6B40565263FF}">
    <sc:text>Определяется в соответствии с проектной документацией на оборудование ПГУ, ГТУ. При отсутствии информации в проектной документации принимается от 3 до 5</sc:text>
  </sc:threadedComment>
</s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9"/>
  <sheetViews>
    <sheetView workbookViewId="0">
      <selection activeCell="G9" sqref="G9"/>
    </sheetView>
  </sheetViews>
  <sheetFormatPr defaultColWidth="10" defaultRowHeight="14.25" x14ac:dyDescent="0.45"/>
  <cols>
    <col min="1" max="1" width="5.73046875" customWidth="1"/>
    <col min="2" max="2" width="5.1328125" customWidth="1"/>
    <col min="3" max="3" width="13.53125" customWidth="1"/>
    <col min="4" max="4" width="18.265625" customWidth="1"/>
    <col min="5" max="5" width="13.86328125" customWidth="1"/>
    <col min="6" max="6" width="23.73046875" customWidth="1"/>
    <col min="7" max="7" width="25.1328125" customWidth="1"/>
  </cols>
  <sheetData>
    <row r="2" spans="1:6" x14ac:dyDescent="0.45">
      <c r="B2" s="114" t="s">
        <v>78</v>
      </c>
      <c r="C2" s="114"/>
      <c r="D2" s="114"/>
      <c r="E2" s="114"/>
      <c r="F2" s="114"/>
    </row>
    <row r="3" spans="1:6" x14ac:dyDescent="0.45">
      <c r="B3" s="108"/>
      <c r="C3" s="108"/>
      <c r="D3" s="108"/>
      <c r="E3" s="108"/>
      <c r="F3" s="108"/>
    </row>
    <row r="4" spans="1:6" s="3" customFormat="1" ht="55.5" customHeight="1" x14ac:dyDescent="0.45">
      <c r="B4" s="116" t="s">
        <v>0</v>
      </c>
      <c r="C4" s="116" t="s">
        <v>1</v>
      </c>
      <c r="D4" s="116" t="s">
        <v>2</v>
      </c>
      <c r="E4" s="112" t="s">
        <v>9</v>
      </c>
      <c r="F4" s="115" t="s">
        <v>51</v>
      </c>
    </row>
    <row r="5" spans="1:6" s="3" customFormat="1" ht="27" customHeight="1" x14ac:dyDescent="0.45">
      <c r="B5" s="116"/>
      <c r="C5" s="116"/>
      <c r="D5" s="116"/>
      <c r="E5" s="113"/>
      <c r="F5" s="115"/>
    </row>
    <row r="6" spans="1:6" x14ac:dyDescent="0.45">
      <c r="A6" s="26"/>
      <c r="B6" s="121">
        <v>1</v>
      </c>
      <c r="C6" s="119" t="s">
        <v>101</v>
      </c>
      <c r="D6" s="117" t="s">
        <v>83</v>
      </c>
      <c r="E6" s="104" t="s">
        <v>13</v>
      </c>
      <c r="F6" s="109">
        <v>7200</v>
      </c>
    </row>
    <row r="7" spans="1:6" x14ac:dyDescent="0.45">
      <c r="A7" s="26"/>
      <c r="B7" s="122"/>
      <c r="C7" s="120"/>
      <c r="D7" s="118"/>
      <c r="E7" s="104" t="s">
        <v>14</v>
      </c>
      <c r="F7" s="109">
        <v>7200</v>
      </c>
    </row>
    <row r="8" spans="1:6" x14ac:dyDescent="0.45">
      <c r="A8" s="26"/>
      <c r="B8" s="122"/>
      <c r="C8" s="120"/>
      <c r="D8" s="118"/>
      <c r="E8" s="104" t="s">
        <v>15</v>
      </c>
      <c r="F8" s="109">
        <v>7200</v>
      </c>
    </row>
    <row r="9" spans="1:6" x14ac:dyDescent="0.45">
      <c r="A9" s="26"/>
      <c r="B9" s="122"/>
      <c r="C9" s="120"/>
      <c r="D9" s="118"/>
      <c r="E9" s="104" t="s">
        <v>16</v>
      </c>
      <c r="F9" s="109">
        <v>7200</v>
      </c>
    </row>
    <row r="10" spans="1:6" x14ac:dyDescent="0.45">
      <c r="A10" s="26"/>
      <c r="B10" s="122"/>
      <c r="C10" s="120"/>
      <c r="D10" s="118"/>
      <c r="E10" s="104" t="s">
        <v>17</v>
      </c>
      <c r="F10" s="109">
        <v>7200</v>
      </c>
    </row>
    <row r="11" spans="1:6" x14ac:dyDescent="0.45">
      <c r="A11" s="26"/>
      <c r="B11" s="122"/>
      <c r="C11" s="120"/>
      <c r="D11" s="118"/>
      <c r="E11" s="104" t="s">
        <v>18</v>
      </c>
      <c r="F11" s="109">
        <v>7200</v>
      </c>
    </row>
    <row r="12" spans="1:6" x14ac:dyDescent="0.45">
      <c r="A12" s="26"/>
      <c r="B12" s="122"/>
      <c r="C12" s="120"/>
      <c r="D12" s="118"/>
      <c r="E12" s="104" t="s">
        <v>19</v>
      </c>
      <c r="F12" s="109">
        <v>7200</v>
      </c>
    </row>
    <row r="13" spans="1:6" x14ac:dyDescent="0.45">
      <c r="A13" s="26"/>
      <c r="B13" s="122"/>
      <c r="C13" s="120"/>
      <c r="D13" s="118"/>
      <c r="E13" s="104" t="s">
        <v>20</v>
      </c>
      <c r="F13" s="109">
        <v>7200</v>
      </c>
    </row>
    <row r="14" spans="1:6" x14ac:dyDescent="0.45">
      <c r="A14" s="26"/>
      <c r="B14" s="122"/>
      <c r="C14" s="120"/>
      <c r="D14" s="118"/>
      <c r="E14" s="104" t="s">
        <v>21</v>
      </c>
      <c r="F14" s="109">
        <v>7200</v>
      </c>
    </row>
    <row r="15" spans="1:6" x14ac:dyDescent="0.45">
      <c r="A15" s="26"/>
      <c r="B15" s="122"/>
      <c r="C15" s="120"/>
      <c r="D15" s="118"/>
      <c r="E15" s="104" t="s">
        <v>22</v>
      </c>
      <c r="F15" s="109">
        <v>7200</v>
      </c>
    </row>
    <row r="16" spans="1:6" x14ac:dyDescent="0.45">
      <c r="A16" s="26"/>
      <c r="B16" s="122"/>
      <c r="C16" s="120"/>
      <c r="D16" s="118"/>
      <c r="E16" s="104" t="s">
        <v>23</v>
      </c>
      <c r="F16" s="109">
        <v>7200</v>
      </c>
    </row>
    <row r="17" spans="1:6" x14ac:dyDescent="0.45">
      <c r="A17" s="26"/>
      <c r="B17" s="122"/>
      <c r="C17" s="120"/>
      <c r="D17" s="118"/>
      <c r="E17" s="104" t="s">
        <v>24</v>
      </c>
      <c r="F17" s="109">
        <v>7200</v>
      </c>
    </row>
    <row r="18" spans="1:6" x14ac:dyDescent="0.45">
      <c r="A18" s="26"/>
      <c r="B18" s="97"/>
      <c r="C18" s="96"/>
    </row>
    <row r="19" spans="1:6" x14ac:dyDescent="0.45">
      <c r="A19" s="26"/>
      <c r="B19" s="97"/>
      <c r="C19" s="96"/>
    </row>
    <row r="20" spans="1:6" x14ac:dyDescent="0.45">
      <c r="A20" s="26"/>
      <c r="B20" s="97"/>
      <c r="C20" s="96"/>
    </row>
    <row r="21" spans="1:6" x14ac:dyDescent="0.45">
      <c r="A21" s="26"/>
      <c r="B21" s="97"/>
      <c r="C21" s="96"/>
    </row>
    <row r="22" spans="1:6" x14ac:dyDescent="0.45">
      <c r="A22" s="26"/>
      <c r="B22" s="97"/>
      <c r="C22" s="96"/>
    </row>
    <row r="23" spans="1:6" x14ac:dyDescent="0.45">
      <c r="A23" s="26"/>
      <c r="B23" s="97"/>
      <c r="C23" s="96"/>
    </row>
    <row r="24" spans="1:6" x14ac:dyDescent="0.45">
      <c r="A24" s="26"/>
      <c r="B24" s="97"/>
      <c r="C24" s="96"/>
    </row>
    <row r="25" spans="1:6" x14ac:dyDescent="0.45">
      <c r="A25" s="26"/>
      <c r="B25" s="97"/>
      <c r="C25" s="96"/>
    </row>
    <row r="26" spans="1:6" x14ac:dyDescent="0.45">
      <c r="A26" s="26"/>
      <c r="B26" s="97"/>
      <c r="C26" s="96"/>
    </row>
    <row r="27" spans="1:6" x14ac:dyDescent="0.45">
      <c r="A27" s="26"/>
      <c r="B27" s="97"/>
      <c r="C27" s="96"/>
    </row>
    <row r="28" spans="1:6" x14ac:dyDescent="0.45">
      <c r="A28" s="26"/>
      <c r="B28" s="97"/>
      <c r="C28" s="96"/>
    </row>
    <row r="29" spans="1:6" x14ac:dyDescent="0.45">
      <c r="A29" s="26"/>
      <c r="B29" s="97"/>
      <c r="C29" s="96"/>
    </row>
  </sheetData>
  <mergeCells count="9">
    <mergeCell ref="D6:D17"/>
    <mergeCell ref="D4:D5"/>
    <mergeCell ref="C6:C17"/>
    <mergeCell ref="B6:B17"/>
    <mergeCell ref="E4:E5"/>
    <mergeCell ref="B2:F2"/>
    <mergeCell ref="F4:F5"/>
    <mergeCell ref="B4:B5"/>
    <mergeCell ref="C4:C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H17"/>
  <sheetViews>
    <sheetView tabSelected="1" topLeftCell="K3" workbookViewId="0">
      <selection activeCell="AF4" sqref="AF4:AF5"/>
    </sheetView>
  </sheetViews>
  <sheetFormatPr defaultColWidth="10" defaultRowHeight="14.25" x14ac:dyDescent="0.45"/>
  <cols>
    <col min="2" max="2" width="4.3984375" customWidth="1"/>
    <col min="3" max="3" width="14" customWidth="1"/>
    <col min="4" max="4" width="16.3984375" customWidth="1"/>
    <col min="5" max="5" width="18.265625" hidden="1" customWidth="1"/>
    <col min="6" max="6" width="16.86328125" customWidth="1"/>
    <col min="7" max="7" width="13" customWidth="1"/>
    <col min="8" max="8" width="28.3984375" customWidth="1"/>
    <col min="9" max="9" width="49" customWidth="1"/>
    <col min="10" max="10" width="44.1328125" customWidth="1"/>
    <col min="11" max="11" width="53" customWidth="1"/>
    <col min="12" max="12" width="23.3984375" customWidth="1"/>
    <col min="13" max="13" width="26.53125" customWidth="1"/>
    <col min="14" max="14" width="18.1328125" customWidth="1"/>
    <col min="15" max="15" width="25.1328125" customWidth="1"/>
    <col min="16" max="16" width="37.3984375" customWidth="1"/>
    <col min="17" max="17" width="19.1328125" customWidth="1"/>
    <col min="18" max="18" width="11.3984375" customWidth="1"/>
    <col min="19" max="20" width="14" customWidth="1"/>
    <col min="21" max="21" width="22.53125" customWidth="1"/>
    <col min="22" max="22" width="15.265625" customWidth="1"/>
    <col min="23" max="23" width="3.3984375" customWidth="1"/>
    <col min="24" max="25" width="16.86328125" customWidth="1"/>
    <col min="26" max="31" width="18.86328125" customWidth="1"/>
    <col min="32" max="32" width="15.73046875" customWidth="1"/>
    <col min="33" max="33" width="17.1328125" customWidth="1"/>
    <col min="34" max="76" width="15.86328125" customWidth="1"/>
  </cols>
  <sheetData>
    <row r="2" spans="2:34" x14ac:dyDescent="0.45">
      <c r="B2" s="114" t="s">
        <v>79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</row>
    <row r="3" spans="2:34" s="3" customFormat="1" ht="24" customHeight="1" x14ac:dyDescent="0.45">
      <c r="D3" s="4"/>
      <c r="E3" s="85" t="s">
        <v>94</v>
      </c>
      <c r="F3" s="5"/>
      <c r="G3" s="73"/>
      <c r="H3" s="73"/>
      <c r="I3" s="6"/>
      <c r="J3" s="6"/>
      <c r="K3" s="6"/>
      <c r="L3" s="7"/>
      <c r="M3" s="6"/>
      <c r="N3" s="7"/>
      <c r="O3" s="7"/>
      <c r="P3" s="7"/>
      <c r="Q3" s="90"/>
      <c r="R3" s="7"/>
      <c r="S3" s="140" t="s">
        <v>65</v>
      </c>
      <c r="T3" s="140"/>
      <c r="U3" s="140"/>
      <c r="V3" s="72"/>
      <c r="X3" s="141"/>
      <c r="Y3" s="141"/>
      <c r="Z3" s="141"/>
      <c r="AA3" s="141"/>
      <c r="AB3" s="141"/>
      <c r="AC3" s="141"/>
      <c r="AD3" s="141"/>
      <c r="AE3" s="141"/>
      <c r="AF3" s="141"/>
      <c r="AG3" s="142"/>
      <c r="AH3" s="79"/>
    </row>
    <row r="4" spans="2:34" s="3" customFormat="1" ht="30" customHeight="1" x14ac:dyDescent="0.45">
      <c r="B4" s="125" t="s">
        <v>0</v>
      </c>
      <c r="C4" s="125" t="s">
        <v>1</v>
      </c>
      <c r="D4" s="125" t="s">
        <v>2</v>
      </c>
      <c r="E4" s="112" t="s">
        <v>80</v>
      </c>
      <c r="F4" s="125" t="s">
        <v>9</v>
      </c>
      <c r="G4" s="127" t="s">
        <v>64</v>
      </c>
      <c r="H4" s="226" t="s">
        <v>3</v>
      </c>
      <c r="I4" s="227" t="s">
        <v>96</v>
      </c>
      <c r="J4" s="227" t="s">
        <v>95</v>
      </c>
      <c r="K4" s="228" t="s">
        <v>98</v>
      </c>
      <c r="L4" s="229" t="s">
        <v>5</v>
      </c>
      <c r="M4" s="228" t="s">
        <v>97</v>
      </c>
      <c r="N4" s="228" t="s">
        <v>60</v>
      </c>
      <c r="O4" s="229" t="s">
        <v>6</v>
      </c>
      <c r="P4" s="230" t="s">
        <v>59</v>
      </c>
      <c r="Q4" s="230" t="s">
        <v>4</v>
      </c>
      <c r="R4" s="231" t="s">
        <v>7</v>
      </c>
      <c r="S4" s="231" t="s">
        <v>61</v>
      </c>
      <c r="T4" s="231" t="s">
        <v>62</v>
      </c>
      <c r="U4" s="228" t="s">
        <v>63</v>
      </c>
      <c r="V4" s="131" t="s">
        <v>8</v>
      </c>
      <c r="W4" s="8"/>
      <c r="X4" s="228" t="s">
        <v>99</v>
      </c>
      <c r="Y4" s="231" t="s">
        <v>67</v>
      </c>
      <c r="Z4" s="231" t="s">
        <v>68</v>
      </c>
      <c r="AA4" s="138" t="s">
        <v>52</v>
      </c>
      <c r="AB4" s="138" t="s">
        <v>69</v>
      </c>
      <c r="AC4" s="138" t="s">
        <v>84</v>
      </c>
      <c r="AD4" s="226" t="s">
        <v>85</v>
      </c>
      <c r="AE4" s="226" t="s">
        <v>86</v>
      </c>
      <c r="AF4" s="231" t="s">
        <v>70</v>
      </c>
      <c r="AG4" s="133" t="s">
        <v>66</v>
      </c>
      <c r="AH4" s="80"/>
    </row>
    <row r="5" spans="2:34" s="3" customFormat="1" ht="63" customHeight="1" x14ac:dyDescent="0.45">
      <c r="B5" s="126"/>
      <c r="C5" s="125"/>
      <c r="D5" s="125"/>
      <c r="E5" s="113"/>
      <c r="F5" s="127"/>
      <c r="G5" s="128"/>
      <c r="H5" s="229"/>
      <c r="I5" s="227"/>
      <c r="J5" s="227"/>
      <c r="K5" s="232"/>
      <c r="L5" s="233"/>
      <c r="M5" s="232"/>
      <c r="N5" s="232"/>
      <c r="O5" s="233"/>
      <c r="P5" s="230"/>
      <c r="Q5" s="230"/>
      <c r="R5" s="234"/>
      <c r="S5" s="234"/>
      <c r="T5" s="234"/>
      <c r="U5" s="232"/>
      <c r="V5" s="132"/>
      <c r="W5" s="8"/>
      <c r="X5" s="232"/>
      <c r="Y5" s="234"/>
      <c r="Z5" s="234"/>
      <c r="AA5" s="139"/>
      <c r="AB5" s="139"/>
      <c r="AC5" s="139"/>
      <c r="AD5" s="226"/>
      <c r="AE5" s="226"/>
      <c r="AF5" s="234"/>
      <c r="AG5" s="134"/>
      <c r="AH5" s="78"/>
    </row>
    <row r="6" spans="2:34" ht="15" customHeight="1" x14ac:dyDescent="0.45">
      <c r="B6" s="121">
        <v>1</v>
      </c>
      <c r="C6" s="119" t="s">
        <v>101</v>
      </c>
      <c r="D6" s="123" t="s">
        <v>83</v>
      </c>
      <c r="E6" s="129" t="s">
        <v>92</v>
      </c>
      <c r="F6" s="98" t="s">
        <v>102</v>
      </c>
      <c r="G6" s="60" t="s">
        <v>76</v>
      </c>
      <c r="H6" s="135">
        <v>4712</v>
      </c>
      <c r="I6" s="60">
        <v>391.2</v>
      </c>
      <c r="J6" s="60">
        <v>281.7</v>
      </c>
      <c r="K6" s="60">
        <v>0.08</v>
      </c>
      <c r="L6" s="99">
        <f t="shared" ref="L6:L17" si="0">I6*(J6*24/1000-K6)</f>
        <v>2613.5289599999996</v>
      </c>
      <c r="M6" s="60">
        <v>150.6</v>
      </c>
      <c r="N6" s="60">
        <v>0.16500000000000001</v>
      </c>
      <c r="O6" s="99">
        <f t="shared" ref="O6:O17" si="1">M6*N6</f>
        <v>24.849</v>
      </c>
      <c r="P6" s="99">
        <f t="shared" ref="P6:P17" si="2">L6+O6</f>
        <v>2638.3779599999998</v>
      </c>
      <c r="Q6" s="143">
        <v>10</v>
      </c>
      <c r="R6" s="99">
        <f t="shared" ref="R6:R17" si="3">IF($H$6=0,0,P6*$Q$6*7000/$H$6)</f>
        <v>39194.918760611203</v>
      </c>
      <c r="S6" s="135">
        <v>1</v>
      </c>
      <c r="T6" s="135">
        <f>H6</f>
        <v>4712</v>
      </c>
      <c r="U6" s="31">
        <v>2</v>
      </c>
      <c r="V6" s="76">
        <v>160</v>
      </c>
      <c r="X6" s="100">
        <v>1</v>
      </c>
      <c r="Y6" s="101">
        <v>31</v>
      </c>
      <c r="Z6" s="60">
        <v>42706.559999999998</v>
      </c>
      <c r="AA6" s="60">
        <v>160</v>
      </c>
      <c r="AB6" s="60">
        <v>8.3000000000000004E-2</v>
      </c>
      <c r="AC6" s="60">
        <v>2.4E-2</v>
      </c>
      <c r="AD6" s="60">
        <v>249</v>
      </c>
      <c r="AE6" s="60">
        <v>165</v>
      </c>
      <c r="AF6" s="99">
        <f>(Z6+(AE6*AA6+AD6*(AB6-AC6)*(7000/H$6)))/Y6</f>
        <v>2229.9478867955527</v>
      </c>
      <c r="AG6" s="102">
        <v>0</v>
      </c>
    </row>
    <row r="7" spans="2:34" x14ac:dyDescent="0.45">
      <c r="B7" s="122"/>
      <c r="C7" s="120"/>
      <c r="D7" s="124"/>
      <c r="E7" s="130"/>
      <c r="F7" s="98" t="s">
        <v>103</v>
      </c>
      <c r="G7" s="60"/>
      <c r="H7" s="136"/>
      <c r="I7" s="60">
        <v>378.3</v>
      </c>
      <c r="J7" s="60">
        <v>281.7</v>
      </c>
      <c r="K7" s="60">
        <v>0.08</v>
      </c>
      <c r="L7" s="99">
        <f t="shared" si="0"/>
        <v>2527.3466399999998</v>
      </c>
      <c r="M7" s="60">
        <v>150.1</v>
      </c>
      <c r="N7" s="60">
        <v>0.16500000000000001</v>
      </c>
      <c r="O7" s="99">
        <f t="shared" si="1"/>
        <v>24.766500000000001</v>
      </c>
      <c r="P7" s="99">
        <f t="shared" si="2"/>
        <v>2552.1131399999999</v>
      </c>
      <c r="Q7" s="144"/>
      <c r="R7" s="99">
        <f t="shared" si="3"/>
        <v>37913.395543293715</v>
      </c>
      <c r="S7" s="136"/>
      <c r="T7" s="136"/>
      <c r="U7" s="31"/>
      <c r="V7" s="76">
        <v>160</v>
      </c>
      <c r="X7" s="100"/>
      <c r="Y7" s="101">
        <v>28</v>
      </c>
      <c r="Z7" s="60">
        <v>38404.300000000003</v>
      </c>
      <c r="AA7" s="60">
        <v>160</v>
      </c>
      <c r="AB7" s="60">
        <v>0.09</v>
      </c>
      <c r="AC7" s="60">
        <v>0.02</v>
      </c>
      <c r="AD7" s="60">
        <v>248</v>
      </c>
      <c r="AE7" s="60">
        <v>169</v>
      </c>
      <c r="AF7" s="99"/>
      <c r="AG7" s="76"/>
    </row>
    <row r="8" spans="2:34" x14ac:dyDescent="0.45">
      <c r="B8" s="122"/>
      <c r="C8" s="120"/>
      <c r="D8" s="124"/>
      <c r="E8" s="130"/>
      <c r="F8" s="98" t="s">
        <v>104</v>
      </c>
      <c r="G8" s="60"/>
      <c r="H8" s="136"/>
      <c r="I8" s="60">
        <v>397.1</v>
      </c>
      <c r="J8" s="60">
        <v>281.7</v>
      </c>
      <c r="K8" s="60">
        <v>0.08</v>
      </c>
      <c r="L8" s="99">
        <f t="shared" si="0"/>
        <v>2652.9456799999998</v>
      </c>
      <c r="M8" s="60">
        <v>151.6</v>
      </c>
      <c r="N8" s="60">
        <v>0.13700000000000001</v>
      </c>
      <c r="O8" s="99">
        <f t="shared" si="1"/>
        <v>20.769200000000001</v>
      </c>
      <c r="P8" s="99">
        <f t="shared" si="2"/>
        <v>2673.71488</v>
      </c>
      <c r="Q8" s="144"/>
      <c r="R8" s="99">
        <f t="shared" si="3"/>
        <v>39719.873005093381</v>
      </c>
      <c r="S8" s="136"/>
      <c r="T8" s="136"/>
      <c r="U8" s="31"/>
      <c r="V8" s="76">
        <v>160</v>
      </c>
      <c r="X8" s="100"/>
      <c r="Y8" s="101">
        <v>31</v>
      </c>
      <c r="Z8" s="60">
        <v>21847.47</v>
      </c>
      <c r="AA8" s="60">
        <v>130</v>
      </c>
      <c r="AB8" s="60">
        <v>0.08</v>
      </c>
      <c r="AC8" s="60">
        <v>0.02</v>
      </c>
      <c r="AD8" s="60">
        <v>267</v>
      </c>
      <c r="AE8" s="60">
        <v>170</v>
      </c>
      <c r="AF8" s="99"/>
      <c r="AG8" s="76"/>
    </row>
    <row r="9" spans="2:34" x14ac:dyDescent="0.45">
      <c r="B9" s="122"/>
      <c r="C9" s="120"/>
      <c r="D9" s="124"/>
      <c r="E9" s="130"/>
      <c r="F9" s="98" t="s">
        <v>105</v>
      </c>
      <c r="G9" s="60"/>
      <c r="H9" s="136"/>
      <c r="I9" s="60">
        <v>432</v>
      </c>
      <c r="J9" s="60">
        <v>280.3</v>
      </c>
      <c r="K9" s="60">
        <v>7.0000000000000007E-2</v>
      </c>
      <c r="L9" s="99">
        <f t="shared" si="0"/>
        <v>2875.9104000000002</v>
      </c>
      <c r="M9" s="60">
        <v>160.30000000000001</v>
      </c>
      <c r="N9" s="60">
        <v>0.76</v>
      </c>
      <c r="O9" s="99">
        <f t="shared" si="1"/>
        <v>121.828</v>
      </c>
      <c r="P9" s="99">
        <f t="shared" si="2"/>
        <v>2997.7384000000002</v>
      </c>
      <c r="Q9" s="144"/>
      <c r="R9" s="99">
        <f t="shared" si="3"/>
        <v>44533.465195246179</v>
      </c>
      <c r="S9" s="136"/>
      <c r="T9" s="136"/>
      <c r="U9" s="31"/>
      <c r="V9" s="76">
        <v>160</v>
      </c>
      <c r="X9" s="100"/>
      <c r="Y9" s="101">
        <v>30</v>
      </c>
      <c r="Z9" s="60">
        <v>22023.87</v>
      </c>
      <c r="AA9" s="60">
        <v>700</v>
      </c>
      <c r="AB9" s="60">
        <v>0.08</v>
      </c>
      <c r="AC9" s="60">
        <v>0.01</v>
      </c>
      <c r="AD9" s="60">
        <v>258</v>
      </c>
      <c r="AE9" s="60">
        <v>166</v>
      </c>
      <c r="AF9" s="99"/>
      <c r="AG9" s="76"/>
    </row>
    <row r="10" spans="2:34" x14ac:dyDescent="0.45">
      <c r="B10" s="122"/>
      <c r="C10" s="120"/>
      <c r="D10" s="124"/>
      <c r="E10" s="130"/>
      <c r="F10" s="98" t="s">
        <v>106</v>
      </c>
      <c r="G10" s="60"/>
      <c r="H10" s="136"/>
      <c r="I10" s="60">
        <v>434.2</v>
      </c>
      <c r="J10" s="60">
        <v>260</v>
      </c>
      <c r="K10" s="60">
        <v>0.02</v>
      </c>
      <c r="L10" s="99">
        <f t="shared" si="0"/>
        <v>2700.7240000000002</v>
      </c>
      <c r="M10" s="60">
        <v>175.2</v>
      </c>
      <c r="N10" s="60">
        <v>0.3</v>
      </c>
      <c r="O10" s="99">
        <f t="shared" si="1"/>
        <v>52.559999999999995</v>
      </c>
      <c r="P10" s="99">
        <f t="shared" si="2"/>
        <v>2753.2840000000001</v>
      </c>
      <c r="Q10" s="144"/>
      <c r="R10" s="99">
        <f t="shared" si="3"/>
        <v>40901.926994906622</v>
      </c>
      <c r="S10" s="136"/>
      <c r="T10" s="136"/>
      <c r="U10" s="31"/>
      <c r="V10" s="76">
        <v>160</v>
      </c>
      <c r="X10" s="100"/>
      <c r="Y10" s="101">
        <v>31</v>
      </c>
      <c r="Z10" s="60">
        <v>21487.1</v>
      </c>
      <c r="AA10" s="60">
        <v>300</v>
      </c>
      <c r="AB10" s="60">
        <v>0.1</v>
      </c>
      <c r="AC10" s="60">
        <v>0.02</v>
      </c>
      <c r="AD10" s="60">
        <v>249</v>
      </c>
      <c r="AE10" s="60">
        <v>171</v>
      </c>
      <c r="AF10" s="99"/>
      <c r="AG10" s="76"/>
    </row>
    <row r="11" spans="2:34" x14ac:dyDescent="0.45">
      <c r="B11" s="122"/>
      <c r="C11" s="120"/>
      <c r="D11" s="124"/>
      <c r="E11" s="130"/>
      <c r="F11" s="98" t="s">
        <v>107</v>
      </c>
      <c r="G11" s="60"/>
      <c r="H11" s="136"/>
      <c r="I11" s="60">
        <v>434.3</v>
      </c>
      <c r="J11" s="60">
        <v>260</v>
      </c>
      <c r="K11" s="60">
        <v>0.02</v>
      </c>
      <c r="L11" s="99">
        <f t="shared" si="0"/>
        <v>2701.3460000000005</v>
      </c>
      <c r="M11" s="60">
        <v>176.5</v>
      </c>
      <c r="N11" s="60">
        <v>0.23</v>
      </c>
      <c r="O11" s="99">
        <f t="shared" si="1"/>
        <v>40.594999999999999</v>
      </c>
      <c r="P11" s="99">
        <f t="shared" si="2"/>
        <v>2741.9410000000003</v>
      </c>
      <c r="Q11" s="144"/>
      <c r="R11" s="99">
        <f t="shared" si="3"/>
        <v>40733.4189303905</v>
      </c>
      <c r="S11" s="136"/>
      <c r="T11" s="136"/>
      <c r="U11" s="31"/>
      <c r="V11" s="76">
        <v>160</v>
      </c>
      <c r="X11" s="100"/>
      <c r="Y11" s="101">
        <v>30</v>
      </c>
      <c r="Z11" s="60">
        <v>13422.67</v>
      </c>
      <c r="AA11" s="60">
        <v>200</v>
      </c>
      <c r="AB11" s="60">
        <v>0.1</v>
      </c>
      <c r="AC11" s="60">
        <v>0.02</v>
      </c>
      <c r="AD11" s="60">
        <v>240</v>
      </c>
      <c r="AE11" s="60">
        <v>170</v>
      </c>
      <c r="AF11" s="99"/>
      <c r="AG11" s="76"/>
    </row>
    <row r="12" spans="2:34" x14ac:dyDescent="0.45">
      <c r="B12" s="122"/>
      <c r="C12" s="120"/>
      <c r="D12" s="124"/>
      <c r="E12" s="130"/>
      <c r="F12" s="98" t="s">
        <v>108</v>
      </c>
      <c r="G12" s="60"/>
      <c r="H12" s="136"/>
      <c r="I12" s="60">
        <v>454.4</v>
      </c>
      <c r="J12" s="60">
        <v>260</v>
      </c>
      <c r="K12" s="60">
        <v>0.02</v>
      </c>
      <c r="L12" s="99">
        <f t="shared" si="0"/>
        <v>2826.3679999999999</v>
      </c>
      <c r="M12" s="60">
        <v>188.8</v>
      </c>
      <c r="N12" s="60">
        <v>0.21</v>
      </c>
      <c r="O12" s="99">
        <f t="shared" si="1"/>
        <v>39.648000000000003</v>
      </c>
      <c r="P12" s="99">
        <f t="shared" si="2"/>
        <v>2866.0160000000001</v>
      </c>
      <c r="Q12" s="144"/>
      <c r="R12" s="99">
        <f t="shared" si="3"/>
        <v>42576.638370118846</v>
      </c>
      <c r="S12" s="136"/>
      <c r="T12" s="136"/>
      <c r="U12" s="31"/>
      <c r="V12" s="76">
        <v>160</v>
      </c>
      <c r="X12" s="100"/>
      <c r="Y12" s="101">
        <v>31</v>
      </c>
      <c r="Z12" s="60">
        <v>17386.669999999998</v>
      </c>
      <c r="AA12" s="60">
        <v>200</v>
      </c>
      <c r="AB12" s="60">
        <v>0.09</v>
      </c>
      <c r="AC12" s="60">
        <v>0.03</v>
      </c>
      <c r="AD12" s="60">
        <v>248</v>
      </c>
      <c r="AE12" s="60">
        <v>168</v>
      </c>
      <c r="AF12" s="99"/>
      <c r="AG12" s="76"/>
    </row>
    <row r="13" spans="2:34" x14ac:dyDescent="0.45">
      <c r="B13" s="122"/>
      <c r="C13" s="120"/>
      <c r="D13" s="124"/>
      <c r="E13" s="130"/>
      <c r="F13" s="98" t="s">
        <v>109</v>
      </c>
      <c r="G13" s="60"/>
      <c r="H13" s="136"/>
      <c r="I13" s="60">
        <v>457.9</v>
      </c>
      <c r="J13" s="60">
        <v>260</v>
      </c>
      <c r="K13" s="60">
        <v>0.02</v>
      </c>
      <c r="L13" s="99">
        <f t="shared" si="0"/>
        <v>2848.1380000000004</v>
      </c>
      <c r="M13" s="60">
        <v>187.8</v>
      </c>
      <c r="N13" s="60">
        <v>0.2</v>
      </c>
      <c r="O13" s="99">
        <f t="shared" si="1"/>
        <v>37.56</v>
      </c>
      <c r="P13" s="99">
        <f t="shared" si="2"/>
        <v>2885.6980000000003</v>
      </c>
      <c r="Q13" s="144"/>
      <c r="R13" s="99">
        <f t="shared" si="3"/>
        <v>42869.028013582349</v>
      </c>
      <c r="S13" s="136"/>
      <c r="T13" s="136"/>
      <c r="U13" s="31"/>
      <c r="V13" s="76">
        <v>160</v>
      </c>
      <c r="X13" s="100"/>
      <c r="Y13" s="101">
        <v>31</v>
      </c>
      <c r="Z13" s="60">
        <v>20779</v>
      </c>
      <c r="AA13" s="60">
        <v>200</v>
      </c>
      <c r="AB13" s="60">
        <v>0.06</v>
      </c>
      <c r="AC13" s="60">
        <v>0.02</v>
      </c>
      <c r="AD13" s="60">
        <v>241</v>
      </c>
      <c r="AE13" s="60">
        <v>173</v>
      </c>
      <c r="AF13" s="99"/>
      <c r="AG13" s="76"/>
    </row>
    <row r="14" spans="2:34" x14ac:dyDescent="0.45">
      <c r="B14" s="122"/>
      <c r="C14" s="120"/>
      <c r="D14" s="124"/>
      <c r="E14" s="130"/>
      <c r="F14" s="98" t="s">
        <v>110</v>
      </c>
      <c r="G14" s="60"/>
      <c r="H14" s="136"/>
      <c r="I14" s="60">
        <v>439.8</v>
      </c>
      <c r="J14" s="60">
        <v>260</v>
      </c>
      <c r="K14" s="60">
        <v>0.02</v>
      </c>
      <c r="L14" s="99">
        <f t="shared" si="0"/>
        <v>2735.5560000000005</v>
      </c>
      <c r="M14" s="60">
        <v>173.6</v>
      </c>
      <c r="N14" s="60">
        <v>0.24</v>
      </c>
      <c r="O14" s="99">
        <f t="shared" si="1"/>
        <v>41.663999999999994</v>
      </c>
      <c r="P14" s="99">
        <f t="shared" si="2"/>
        <v>2777.2200000000007</v>
      </c>
      <c r="Q14" s="144"/>
      <c r="R14" s="99">
        <f t="shared" si="3"/>
        <v>41257.512733446529</v>
      </c>
      <c r="S14" s="136"/>
      <c r="T14" s="136"/>
      <c r="U14" s="31"/>
      <c r="V14" s="76">
        <v>160</v>
      </c>
      <c r="X14" s="100"/>
      <c r="Y14" s="101">
        <v>30</v>
      </c>
      <c r="Z14" s="60">
        <v>11523.7</v>
      </c>
      <c r="AA14" s="60">
        <v>200</v>
      </c>
      <c r="AB14" s="60">
        <v>7.0000000000000007E-2</v>
      </c>
      <c r="AC14" s="60">
        <v>0.02</v>
      </c>
      <c r="AD14" s="60">
        <v>241</v>
      </c>
      <c r="AE14" s="60">
        <v>172</v>
      </c>
      <c r="AF14" s="99"/>
      <c r="AG14" s="76"/>
    </row>
    <row r="15" spans="2:34" x14ac:dyDescent="0.45">
      <c r="B15" s="122"/>
      <c r="C15" s="120"/>
      <c r="D15" s="124"/>
      <c r="E15" s="130"/>
      <c r="F15" s="98" t="s">
        <v>112</v>
      </c>
      <c r="G15" s="60"/>
      <c r="H15" s="136"/>
      <c r="I15" s="60">
        <v>428.8</v>
      </c>
      <c r="J15" s="60">
        <v>275.7</v>
      </c>
      <c r="K15" s="60">
        <v>0.04</v>
      </c>
      <c r="L15" s="99">
        <f t="shared" si="0"/>
        <v>2820.13184</v>
      </c>
      <c r="M15" s="60">
        <v>158.1</v>
      </c>
      <c r="N15" s="60">
        <v>0.68</v>
      </c>
      <c r="O15" s="99">
        <f t="shared" si="1"/>
        <v>107.50800000000001</v>
      </c>
      <c r="P15" s="99">
        <f t="shared" si="2"/>
        <v>2927.6398399999998</v>
      </c>
      <c r="Q15" s="144"/>
      <c r="R15" s="99">
        <f t="shared" si="3"/>
        <v>43492.102886247871</v>
      </c>
      <c r="S15" s="136"/>
      <c r="T15" s="136"/>
      <c r="U15" s="31"/>
      <c r="V15" s="76">
        <v>160</v>
      </c>
      <c r="X15" s="100"/>
      <c r="Y15" s="101">
        <v>31</v>
      </c>
      <c r="Z15" s="60">
        <v>18529</v>
      </c>
      <c r="AA15" s="60">
        <v>600</v>
      </c>
      <c r="AB15" s="60">
        <v>0.06</v>
      </c>
      <c r="AC15" s="60">
        <v>0.01</v>
      </c>
      <c r="AD15" s="60">
        <v>251</v>
      </c>
      <c r="AE15" s="60">
        <v>172</v>
      </c>
      <c r="AF15" s="99"/>
      <c r="AG15" s="76"/>
    </row>
    <row r="16" spans="2:34" x14ac:dyDescent="0.45">
      <c r="B16" s="122"/>
      <c r="C16" s="120"/>
      <c r="D16" s="124"/>
      <c r="E16" s="130"/>
      <c r="F16" s="98" t="s">
        <v>111</v>
      </c>
      <c r="G16" s="60"/>
      <c r="H16" s="136"/>
      <c r="I16" s="60">
        <v>377.1</v>
      </c>
      <c r="J16" s="60">
        <v>281.7</v>
      </c>
      <c r="K16" s="60">
        <v>0.08</v>
      </c>
      <c r="L16" s="99">
        <f t="shared" si="0"/>
        <v>2519.3296799999998</v>
      </c>
      <c r="M16" s="60">
        <v>151.5</v>
      </c>
      <c r="N16" s="60">
        <v>0.79</v>
      </c>
      <c r="O16" s="99">
        <f t="shared" si="1"/>
        <v>119.685</v>
      </c>
      <c r="P16" s="99">
        <f t="shared" si="2"/>
        <v>2639.0146799999998</v>
      </c>
      <c r="Q16" s="144"/>
      <c r="R16" s="99">
        <f t="shared" si="3"/>
        <v>39204.377674023766</v>
      </c>
      <c r="S16" s="136"/>
      <c r="T16" s="136"/>
      <c r="U16" s="31"/>
      <c r="V16" s="76">
        <v>160</v>
      </c>
      <c r="X16" s="100"/>
      <c r="Y16" s="101">
        <v>30</v>
      </c>
      <c r="Z16" s="60">
        <v>36473</v>
      </c>
      <c r="AA16" s="60">
        <v>700</v>
      </c>
      <c r="AB16" s="60">
        <v>7.0000000000000007E-2</v>
      </c>
      <c r="AC16" s="60">
        <v>0.02</v>
      </c>
      <c r="AD16" s="60">
        <v>263</v>
      </c>
      <c r="AE16" s="60">
        <v>176</v>
      </c>
      <c r="AF16" s="99"/>
      <c r="AG16" s="76"/>
    </row>
    <row r="17" spans="2:33" x14ac:dyDescent="0.45">
      <c r="B17" s="122"/>
      <c r="C17" s="120"/>
      <c r="D17" s="124"/>
      <c r="E17" s="130"/>
      <c r="F17" s="98" t="s">
        <v>113</v>
      </c>
      <c r="G17" s="60"/>
      <c r="H17" s="137"/>
      <c r="I17" s="60">
        <v>393.9</v>
      </c>
      <c r="J17" s="60">
        <v>281.7</v>
      </c>
      <c r="K17" s="60">
        <v>0.1</v>
      </c>
      <c r="L17" s="99">
        <f t="shared" si="0"/>
        <v>2623.68912</v>
      </c>
      <c r="M17" s="60">
        <v>150.1</v>
      </c>
      <c r="N17" s="60">
        <v>0.18</v>
      </c>
      <c r="O17" s="99">
        <f t="shared" si="1"/>
        <v>27.017999999999997</v>
      </c>
      <c r="P17" s="99">
        <f t="shared" si="2"/>
        <v>2650.70712</v>
      </c>
      <c r="Q17" s="145"/>
      <c r="R17" s="99">
        <f t="shared" si="3"/>
        <v>39378.076910016971</v>
      </c>
      <c r="S17" s="137"/>
      <c r="T17" s="137"/>
      <c r="U17" s="31"/>
      <c r="V17" s="76">
        <v>160</v>
      </c>
      <c r="X17" s="100"/>
      <c r="Y17" s="101">
        <v>31</v>
      </c>
      <c r="Z17" s="60">
        <v>48585</v>
      </c>
      <c r="AA17" s="60">
        <v>100</v>
      </c>
      <c r="AB17" s="60">
        <v>0.08</v>
      </c>
      <c r="AC17" s="60">
        <v>0.02</v>
      </c>
      <c r="AD17" s="60">
        <v>240</v>
      </c>
      <c r="AE17" s="60">
        <v>175</v>
      </c>
      <c r="AF17" s="99"/>
      <c r="AG17" s="76"/>
    </row>
  </sheetData>
  <mergeCells count="42">
    <mergeCell ref="F4:F5"/>
    <mergeCell ref="D4:D5"/>
    <mergeCell ref="I4:I5"/>
    <mergeCell ref="Q6:Q17"/>
    <mergeCell ref="AB4:AB5"/>
    <mergeCell ref="S3:U3"/>
    <mergeCell ref="X3:AG3"/>
    <mergeCell ref="AE4:AE5"/>
    <mergeCell ref="H6:H17"/>
    <mergeCell ref="M4:M5"/>
    <mergeCell ref="H4:H5"/>
    <mergeCell ref="S6:S17"/>
    <mergeCell ref="T6:T17"/>
    <mergeCell ref="Y4:Y5"/>
    <mergeCell ref="AA4:AA5"/>
    <mergeCell ref="AC4:AC5"/>
    <mergeCell ref="AG4:AG5"/>
    <mergeCell ref="S4:S5"/>
    <mergeCell ref="T4:T5"/>
    <mergeCell ref="U4:U5"/>
    <mergeCell ref="AD4:AD5"/>
    <mergeCell ref="Q4:Q5"/>
    <mergeCell ref="R4:R5"/>
    <mergeCell ref="X4:X5"/>
    <mergeCell ref="Z4:Z5"/>
    <mergeCell ref="AF4:AF5"/>
    <mergeCell ref="B2:AG2"/>
    <mergeCell ref="D6:D17"/>
    <mergeCell ref="C6:C17"/>
    <mergeCell ref="B6:B17"/>
    <mergeCell ref="B4:B5"/>
    <mergeCell ref="C4:C5"/>
    <mergeCell ref="J4:J5"/>
    <mergeCell ref="K4:K5"/>
    <mergeCell ref="L4:L5"/>
    <mergeCell ref="G4:G5"/>
    <mergeCell ref="E6:E17"/>
    <mergeCell ref="E4:E5"/>
    <mergeCell ref="V4:V5"/>
    <mergeCell ref="N4:N5"/>
    <mergeCell ref="O4:O5"/>
    <mergeCell ref="P4:P5"/>
  </mergeCells>
  <dataValidations count="4">
    <dataValidation type="whole" allowBlank="1" showInputMessage="1" showErrorMessage="1" error="В этом случае необходимо в столбце &quot;Месяц в котором поставка топлива ограничена&quot; указать &quot;Нет&quot;" sqref="X8:X17" xr:uid="{00000000-0002-0000-0400-000000000000}">
      <formula1>1</formula1>
      <formula2>35</formula2>
    </dataValidation>
    <dataValidation type="whole" allowBlank="1" showInputMessage="1" showErrorMessage="1" error="Необходимо указать целое число.  В случае если значение &quot;0&quot; необходимо в столбце &quot;Месяц в котором поставка топлива ограничена&quot; указать &quot;Нет&quot;" sqref="X7" xr:uid="{00000000-0002-0000-0400-000001000000}">
      <formula1>1</formula1>
      <formula2>35</formula2>
    </dataValidation>
    <dataValidation type="whole" allowBlank="1" showInputMessage="1" showErrorMessage="1" error="Возможен ввод только целых чисел. Если значение 0, в этом случае необходимо в столбце &quot;Месяц в котором поставка топлива ограничена&quot; указать &quot;Нет&quot;." sqref="X6" xr:uid="{00000000-0002-0000-0400-000002000000}">
      <formula1>1</formula1>
      <formula2>35</formula2>
    </dataValidation>
    <dataValidation type="list" allowBlank="1" showInputMessage="1" showErrorMessage="1" sqref="G6:G17" xr:uid="{00000000-0002-0000-0400-000003000000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7"/>
  <sheetViews>
    <sheetView workbookViewId="0">
      <selection activeCell="E6" sqref="E6:F17"/>
    </sheetView>
  </sheetViews>
  <sheetFormatPr defaultColWidth="10" defaultRowHeight="14.25" x14ac:dyDescent="0.45"/>
  <cols>
    <col min="1" max="1" width="3.3984375" customWidth="1"/>
    <col min="2" max="2" width="3.86328125" customWidth="1"/>
    <col min="3" max="3" width="13.265625" customWidth="1"/>
    <col min="4" max="4" width="20.53125" customWidth="1"/>
    <col min="5" max="5" width="15.53125" customWidth="1"/>
    <col min="6" max="6" width="18.3984375" customWidth="1"/>
  </cols>
  <sheetData>
    <row r="2" spans="2:10" ht="19.5" customHeight="1" x14ac:dyDescent="0.45">
      <c r="B2" s="114" t="s">
        <v>81</v>
      </c>
      <c r="C2" s="114"/>
      <c r="D2" s="114"/>
      <c r="E2" s="114"/>
      <c r="F2" s="114"/>
    </row>
    <row r="3" spans="2:10" ht="25.5" customHeight="1" x14ac:dyDescent="0.45"/>
    <row r="4" spans="2:10" ht="27" customHeight="1" x14ac:dyDescent="0.45">
      <c r="B4" s="116" t="s">
        <v>0</v>
      </c>
      <c r="C4" s="154" t="s">
        <v>1</v>
      </c>
      <c r="D4" s="152" t="s">
        <v>2</v>
      </c>
      <c r="E4" s="154" t="s">
        <v>9</v>
      </c>
      <c r="F4" s="131" t="s">
        <v>28</v>
      </c>
      <c r="G4" s="103"/>
      <c r="H4" s="103"/>
      <c r="I4" s="103"/>
      <c r="J4" s="103"/>
    </row>
    <row r="5" spans="2:10" ht="46.5" customHeight="1" x14ac:dyDescent="0.45">
      <c r="B5" s="153"/>
      <c r="C5" s="156"/>
      <c r="D5" s="153"/>
      <c r="E5" s="155"/>
      <c r="F5" s="132"/>
    </row>
    <row r="6" spans="2:10" x14ac:dyDescent="0.45">
      <c r="B6" s="146"/>
      <c r="C6" s="149" t="s">
        <v>101</v>
      </c>
      <c r="D6" s="149" t="s">
        <v>83</v>
      </c>
      <c r="E6" s="104" t="s">
        <v>13</v>
      </c>
      <c r="F6" s="106">
        <v>20000</v>
      </c>
    </row>
    <row r="7" spans="2:10" x14ac:dyDescent="0.45">
      <c r="B7" s="147"/>
      <c r="C7" s="150"/>
      <c r="D7" s="150"/>
      <c r="E7" s="104" t="s">
        <v>14</v>
      </c>
      <c r="F7" s="106">
        <v>30000</v>
      </c>
    </row>
    <row r="8" spans="2:10" x14ac:dyDescent="0.45">
      <c r="B8" s="147"/>
      <c r="C8" s="150"/>
      <c r="D8" s="150"/>
      <c r="E8" s="104" t="s">
        <v>15</v>
      </c>
      <c r="F8" s="106">
        <v>20000</v>
      </c>
    </row>
    <row r="9" spans="2:10" x14ac:dyDescent="0.45">
      <c r="B9" s="147"/>
      <c r="C9" s="150"/>
      <c r="D9" s="150"/>
      <c r="E9" s="104" t="s">
        <v>16</v>
      </c>
      <c r="F9" s="106">
        <v>10000</v>
      </c>
    </row>
    <row r="10" spans="2:10" x14ac:dyDescent="0.45">
      <c r="B10" s="147"/>
      <c r="C10" s="150"/>
      <c r="D10" s="150"/>
      <c r="E10" s="104" t="s">
        <v>17</v>
      </c>
      <c r="F10" s="106">
        <v>10000</v>
      </c>
    </row>
    <row r="11" spans="2:10" x14ac:dyDescent="0.45">
      <c r="B11" s="147"/>
      <c r="C11" s="150"/>
      <c r="D11" s="150"/>
      <c r="E11" s="104" t="s">
        <v>18</v>
      </c>
      <c r="F11" s="106">
        <v>10000</v>
      </c>
    </row>
    <row r="12" spans="2:10" x14ac:dyDescent="0.45">
      <c r="B12" s="147"/>
      <c r="C12" s="150"/>
      <c r="D12" s="150"/>
      <c r="E12" s="104" t="s">
        <v>19</v>
      </c>
      <c r="F12" s="106">
        <v>10000</v>
      </c>
    </row>
    <row r="13" spans="2:10" x14ac:dyDescent="0.45">
      <c r="B13" s="147"/>
      <c r="C13" s="150"/>
      <c r="D13" s="150"/>
      <c r="E13" s="104" t="s">
        <v>20</v>
      </c>
      <c r="F13" s="106">
        <v>10000</v>
      </c>
    </row>
    <row r="14" spans="2:10" x14ac:dyDescent="0.45">
      <c r="B14" s="147"/>
      <c r="C14" s="150"/>
      <c r="D14" s="150"/>
      <c r="E14" s="104" t="s">
        <v>21</v>
      </c>
      <c r="F14" s="106">
        <v>10000</v>
      </c>
    </row>
    <row r="15" spans="2:10" x14ac:dyDescent="0.45">
      <c r="B15" s="147"/>
      <c r="C15" s="150"/>
      <c r="D15" s="150"/>
      <c r="E15" s="104" t="s">
        <v>22</v>
      </c>
      <c r="F15" s="106">
        <v>20000</v>
      </c>
    </row>
    <row r="16" spans="2:10" x14ac:dyDescent="0.45">
      <c r="B16" s="147"/>
      <c r="C16" s="150"/>
      <c r="D16" s="150"/>
      <c r="E16" s="104" t="s">
        <v>23</v>
      </c>
      <c r="F16" s="106">
        <v>20000</v>
      </c>
    </row>
    <row r="17" spans="2:6" x14ac:dyDescent="0.45">
      <c r="B17" s="148"/>
      <c r="C17" s="151"/>
      <c r="D17" s="151"/>
      <c r="E17" s="104" t="s">
        <v>24</v>
      </c>
      <c r="F17" s="106">
        <v>20000</v>
      </c>
    </row>
  </sheetData>
  <mergeCells count="9">
    <mergeCell ref="B2:F2"/>
    <mergeCell ref="F4:F5"/>
    <mergeCell ref="B6:B17"/>
    <mergeCell ref="C6:C17"/>
    <mergeCell ref="D6:D17"/>
    <mergeCell ref="D4:D5"/>
    <mergeCell ref="E4:E5"/>
    <mergeCell ref="B4:B5"/>
    <mergeCell ref="C4:C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7"/>
  <sheetViews>
    <sheetView workbookViewId="0">
      <selection activeCell="I19" sqref="I19"/>
    </sheetView>
  </sheetViews>
  <sheetFormatPr defaultColWidth="10" defaultRowHeight="14.25" x14ac:dyDescent="0.45"/>
  <cols>
    <col min="1" max="1" width="7.265625" customWidth="1"/>
    <col min="2" max="2" width="4.53125" customWidth="1"/>
    <col min="3" max="3" width="15.73046875" customWidth="1"/>
    <col min="4" max="4" width="18.1328125" customWidth="1"/>
    <col min="5" max="5" width="13" customWidth="1"/>
    <col min="6" max="6" width="21.1328125" customWidth="1"/>
    <col min="7" max="7" width="23.1328125" customWidth="1"/>
    <col min="8" max="8" width="13" customWidth="1"/>
    <col min="9" max="9" width="20.86328125" customWidth="1"/>
    <col min="10" max="26" width="15.73046875" customWidth="1"/>
  </cols>
  <sheetData>
    <row r="1" spans="2:9" x14ac:dyDescent="0.45">
      <c r="F1" s="70"/>
    </row>
    <row r="2" spans="2:9" ht="18.75" customHeight="1" x14ac:dyDescent="0.45">
      <c r="B2" s="114" t="s">
        <v>82</v>
      </c>
      <c r="C2" s="114"/>
      <c r="D2" s="114"/>
      <c r="E2" s="114"/>
      <c r="F2" s="114"/>
      <c r="G2" s="114"/>
      <c r="H2" s="114"/>
      <c r="I2" s="114"/>
    </row>
    <row r="3" spans="2:9" x14ac:dyDescent="0.45">
      <c r="F3" s="70"/>
      <c r="G3" s="70"/>
      <c r="I3" s="70"/>
    </row>
    <row r="4" spans="2:9" ht="15" customHeight="1" x14ac:dyDescent="0.45">
      <c r="B4" s="157" t="s">
        <v>0</v>
      </c>
      <c r="C4" s="157" t="s">
        <v>1</v>
      </c>
      <c r="D4" s="157" t="s">
        <v>2</v>
      </c>
      <c r="E4" s="157" t="s">
        <v>9</v>
      </c>
      <c r="F4" s="157" t="s">
        <v>93</v>
      </c>
      <c r="G4" s="174" t="s">
        <v>29</v>
      </c>
      <c r="H4" s="170" t="s">
        <v>30</v>
      </c>
      <c r="I4" s="172" t="s">
        <v>31</v>
      </c>
    </row>
    <row r="5" spans="2:9" ht="48.75" customHeight="1" x14ac:dyDescent="0.45">
      <c r="B5" s="158"/>
      <c r="C5" s="158"/>
      <c r="D5" s="158"/>
      <c r="E5" s="158"/>
      <c r="F5" s="158"/>
      <c r="G5" s="175"/>
      <c r="H5" s="171"/>
      <c r="I5" s="173"/>
    </row>
    <row r="6" spans="2:9" x14ac:dyDescent="0.45">
      <c r="B6" s="159">
        <v>1</v>
      </c>
      <c r="C6" s="161" t="s">
        <v>101</v>
      </c>
      <c r="D6" s="119" t="s">
        <v>83</v>
      </c>
      <c r="E6" s="110" t="s">
        <v>13</v>
      </c>
      <c r="F6" s="164">
        <v>1040</v>
      </c>
      <c r="G6" s="164">
        <v>20</v>
      </c>
      <c r="H6" s="167">
        <f>$F$6*$G$6</f>
        <v>20800</v>
      </c>
      <c r="I6" s="87">
        <v>13700</v>
      </c>
    </row>
    <row r="7" spans="2:9" x14ac:dyDescent="0.45">
      <c r="B7" s="122"/>
      <c r="C7" s="118"/>
      <c r="D7" s="120"/>
      <c r="E7" s="110" t="s">
        <v>14</v>
      </c>
      <c r="F7" s="165"/>
      <c r="G7" s="165"/>
      <c r="H7" s="168"/>
      <c r="I7" s="87">
        <v>13800</v>
      </c>
    </row>
    <row r="8" spans="2:9" x14ac:dyDescent="0.45">
      <c r="B8" s="122"/>
      <c r="C8" s="118"/>
      <c r="D8" s="120"/>
      <c r="E8" s="110" t="s">
        <v>15</v>
      </c>
      <c r="F8" s="165"/>
      <c r="G8" s="165"/>
      <c r="H8" s="168"/>
      <c r="I8" s="87">
        <v>13736</v>
      </c>
    </row>
    <row r="9" spans="2:9" x14ac:dyDescent="0.45">
      <c r="B9" s="122"/>
      <c r="C9" s="118"/>
      <c r="D9" s="120"/>
      <c r="E9" s="110" t="s">
        <v>16</v>
      </c>
      <c r="F9" s="165"/>
      <c r="G9" s="165"/>
      <c r="H9" s="168"/>
      <c r="I9" s="87">
        <v>13726</v>
      </c>
    </row>
    <row r="10" spans="2:9" x14ac:dyDescent="0.45">
      <c r="B10" s="122"/>
      <c r="C10" s="118"/>
      <c r="D10" s="120"/>
      <c r="E10" s="110" t="s">
        <v>17</v>
      </c>
      <c r="F10" s="165"/>
      <c r="G10" s="165"/>
      <c r="H10" s="168"/>
      <c r="I10" s="87">
        <v>13826</v>
      </c>
    </row>
    <row r="11" spans="2:9" x14ac:dyDescent="0.45">
      <c r="B11" s="122"/>
      <c r="C11" s="118"/>
      <c r="D11" s="120"/>
      <c r="E11" s="110" t="s">
        <v>18</v>
      </c>
      <c r="F11" s="165"/>
      <c r="G11" s="165"/>
      <c r="H11" s="168"/>
      <c r="I11" s="87">
        <v>13947</v>
      </c>
    </row>
    <row r="12" spans="2:9" x14ac:dyDescent="0.45">
      <c r="B12" s="122"/>
      <c r="C12" s="118"/>
      <c r="D12" s="120"/>
      <c r="E12" s="110" t="s">
        <v>19</v>
      </c>
      <c r="F12" s="165"/>
      <c r="G12" s="165"/>
      <c r="H12" s="168"/>
      <c r="I12" s="87">
        <v>13847</v>
      </c>
    </row>
    <row r="13" spans="2:9" x14ac:dyDescent="0.45">
      <c r="B13" s="122"/>
      <c r="C13" s="118"/>
      <c r="D13" s="120"/>
      <c r="E13" s="110" t="s">
        <v>20</v>
      </c>
      <c r="F13" s="165"/>
      <c r="G13" s="165"/>
      <c r="H13" s="168"/>
      <c r="I13" s="87">
        <v>13948</v>
      </c>
    </row>
    <row r="14" spans="2:9" x14ac:dyDescent="0.45">
      <c r="B14" s="122"/>
      <c r="C14" s="118"/>
      <c r="D14" s="120"/>
      <c r="E14" s="110" t="s">
        <v>21</v>
      </c>
      <c r="F14" s="165"/>
      <c r="G14" s="165"/>
      <c r="H14" s="168"/>
      <c r="I14" s="87">
        <v>13847</v>
      </c>
    </row>
    <row r="15" spans="2:9" x14ac:dyDescent="0.45">
      <c r="B15" s="122"/>
      <c r="C15" s="118"/>
      <c r="D15" s="120"/>
      <c r="E15" s="110" t="s">
        <v>22</v>
      </c>
      <c r="F15" s="165"/>
      <c r="G15" s="165"/>
      <c r="H15" s="168"/>
      <c r="I15" s="87">
        <v>13736</v>
      </c>
    </row>
    <row r="16" spans="2:9" x14ac:dyDescent="0.45">
      <c r="B16" s="122"/>
      <c r="C16" s="118"/>
      <c r="D16" s="120"/>
      <c r="E16" s="110" t="s">
        <v>23</v>
      </c>
      <c r="F16" s="165"/>
      <c r="G16" s="165"/>
      <c r="H16" s="168"/>
      <c r="I16" s="87">
        <v>13958</v>
      </c>
    </row>
    <row r="17" spans="2:9" x14ac:dyDescent="0.45">
      <c r="B17" s="160"/>
      <c r="C17" s="162"/>
      <c r="D17" s="163"/>
      <c r="E17" s="111" t="s">
        <v>24</v>
      </c>
      <c r="F17" s="166"/>
      <c r="G17" s="166"/>
      <c r="H17" s="169"/>
      <c r="I17" s="87">
        <v>13756</v>
      </c>
    </row>
  </sheetData>
  <mergeCells count="15">
    <mergeCell ref="B2:I2"/>
    <mergeCell ref="B4:B5"/>
    <mergeCell ref="C4:C5"/>
    <mergeCell ref="D4:D5"/>
    <mergeCell ref="B6:B17"/>
    <mergeCell ref="C6:C17"/>
    <mergeCell ref="D6:D17"/>
    <mergeCell ref="G6:G17"/>
    <mergeCell ref="H6:H17"/>
    <mergeCell ref="E4:E5"/>
    <mergeCell ref="F6:F17"/>
    <mergeCell ref="H4:H5"/>
    <mergeCell ref="I4:I5"/>
    <mergeCell ref="F4:F5"/>
    <mergeCell ref="G4:G5"/>
  </mergeCells>
  <pageMargins left="0.7" right="0.7" top="0.75" bottom="0.75" header="0.3" footer="0.3"/>
  <pageSetup paperSize="9" orientation="portrait" r:id="rId1"/>
  <ignoredErrors>
    <ignoredError sqref="H8:H16 H17 H7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M32"/>
  <sheetViews>
    <sheetView topLeftCell="D1" workbookViewId="0">
      <selection activeCell="N6" sqref="N6"/>
    </sheetView>
  </sheetViews>
  <sheetFormatPr defaultColWidth="10" defaultRowHeight="14.25" x14ac:dyDescent="0.45"/>
  <cols>
    <col min="1" max="1" width="9.1328125" customWidth="1"/>
    <col min="2" max="2" width="4" customWidth="1"/>
    <col min="3" max="3" width="15.265625" customWidth="1"/>
    <col min="4" max="4" width="14.265625" customWidth="1"/>
    <col min="5" max="9" width="15.265625" customWidth="1"/>
    <col min="11" max="11" width="10.53125" bestFit="1" customWidth="1"/>
  </cols>
  <sheetData>
    <row r="2" spans="2:13" x14ac:dyDescent="0.45">
      <c r="B2" s="176" t="s">
        <v>87</v>
      </c>
      <c r="C2" s="176"/>
      <c r="D2" s="176"/>
      <c r="E2" s="176"/>
      <c r="F2" s="176"/>
      <c r="G2" s="176"/>
      <c r="H2" s="176"/>
      <c r="I2" s="176"/>
    </row>
    <row r="4" spans="2:13" x14ac:dyDescent="0.45">
      <c r="B4" s="116" t="s">
        <v>0</v>
      </c>
      <c r="C4" s="154" t="s">
        <v>1</v>
      </c>
      <c r="D4" s="154" t="s">
        <v>9</v>
      </c>
      <c r="E4" s="154" t="s">
        <v>90</v>
      </c>
      <c r="F4" s="154" t="s">
        <v>8</v>
      </c>
      <c r="G4" s="154" t="s">
        <v>66</v>
      </c>
      <c r="H4" s="154" t="s">
        <v>89</v>
      </c>
      <c r="I4" s="177" t="s">
        <v>91</v>
      </c>
    </row>
    <row r="5" spans="2:13" x14ac:dyDescent="0.45">
      <c r="B5" s="153"/>
      <c r="C5" s="156"/>
      <c r="D5" s="155"/>
      <c r="E5" s="155"/>
      <c r="F5" s="155"/>
      <c r="G5" s="155"/>
      <c r="H5" s="155"/>
      <c r="I5" s="178"/>
      <c r="J5" s="91"/>
      <c r="K5" s="91"/>
      <c r="L5" s="91"/>
      <c r="M5" s="91"/>
    </row>
    <row r="6" spans="2:13" ht="18.75" customHeight="1" x14ac:dyDescent="0.45">
      <c r="B6" s="179">
        <v>1</v>
      </c>
      <c r="C6" s="149" t="s">
        <v>101</v>
      </c>
      <c r="D6" s="104" t="s">
        <v>13</v>
      </c>
      <c r="E6" s="105">
        <v>7200</v>
      </c>
      <c r="F6" s="105">
        <v>156.27000000000001</v>
      </c>
      <c r="G6" s="95">
        <v>0</v>
      </c>
      <c r="H6" s="106">
        <v>20000</v>
      </c>
      <c r="I6" s="107">
        <f t="shared" ref="I6:I17" si="0">E6+H6+IF(G6&gt;0,G6,F6)</f>
        <v>27356.27</v>
      </c>
      <c r="J6" s="91"/>
      <c r="K6" s="91"/>
      <c r="L6" s="91"/>
      <c r="M6" s="91"/>
    </row>
    <row r="7" spans="2:13" ht="18.75" customHeight="1" x14ac:dyDescent="0.45">
      <c r="B7" s="180"/>
      <c r="C7" s="150"/>
      <c r="D7" s="104" t="s">
        <v>14</v>
      </c>
      <c r="E7" s="105">
        <v>7200</v>
      </c>
      <c r="F7" s="105">
        <v>123.9</v>
      </c>
      <c r="G7" s="95">
        <f>SUMIF(НЭЗТ!$F$6:$F$18,ОНЗТ!D7,НЭЗТ!$AG$6:$AG$18)</f>
        <v>0</v>
      </c>
      <c r="H7" s="106">
        <v>30000</v>
      </c>
      <c r="I7" s="107">
        <f t="shared" si="0"/>
        <v>37323.9</v>
      </c>
      <c r="J7" s="91"/>
      <c r="K7" s="91"/>
      <c r="L7" s="91"/>
      <c r="M7" s="91"/>
    </row>
    <row r="8" spans="2:13" ht="18.75" customHeight="1" x14ac:dyDescent="0.45">
      <c r="B8" s="180"/>
      <c r="C8" s="150"/>
      <c r="D8" s="104" t="s">
        <v>15</v>
      </c>
      <c r="E8" s="105">
        <v>7200</v>
      </c>
      <c r="F8" s="105">
        <v>91.6</v>
      </c>
      <c r="G8" s="95">
        <f>SUMIF(НЭЗТ!$F$6:$F$18,ОНЗТ!D8,НЭЗТ!$AG$6:$AG$18)</f>
        <v>0</v>
      </c>
      <c r="H8" s="106">
        <v>20000</v>
      </c>
      <c r="I8" s="107">
        <f t="shared" si="0"/>
        <v>27291.599999999999</v>
      </c>
      <c r="J8" s="91"/>
      <c r="K8" s="91"/>
      <c r="L8" s="91"/>
      <c r="M8" s="91"/>
    </row>
    <row r="9" spans="2:13" ht="18.75" customHeight="1" x14ac:dyDescent="0.45">
      <c r="B9" s="180"/>
      <c r="C9" s="150"/>
      <c r="D9" s="104" t="s">
        <v>16</v>
      </c>
      <c r="E9" s="105">
        <v>7200</v>
      </c>
      <c r="F9" s="105">
        <v>59.2</v>
      </c>
      <c r="G9" s="95">
        <f>SUMIF(НЭЗТ!$F$6:$F$18,ОНЗТ!D9,НЭЗТ!$AG$6:$AG$18)</f>
        <v>0</v>
      </c>
      <c r="H9" s="106">
        <v>10000</v>
      </c>
      <c r="I9" s="107">
        <f t="shared" si="0"/>
        <v>17259.2</v>
      </c>
      <c r="J9" s="91"/>
      <c r="K9" s="91"/>
      <c r="L9" s="91"/>
      <c r="M9" s="91"/>
    </row>
    <row r="10" spans="2:13" ht="18.75" customHeight="1" x14ac:dyDescent="0.45">
      <c r="B10" s="180"/>
      <c r="C10" s="150"/>
      <c r="D10" s="104" t="s">
        <v>17</v>
      </c>
      <c r="E10" s="105">
        <v>7200</v>
      </c>
      <c r="F10" s="105">
        <v>79.66</v>
      </c>
      <c r="G10" s="95">
        <f>SUMIF(НЭЗТ!$F$6:$F$18,ОНЗТ!D10,НЭЗТ!$AG$6:$AG$18)</f>
        <v>0</v>
      </c>
      <c r="H10" s="106">
        <v>10000</v>
      </c>
      <c r="I10" s="107">
        <f t="shared" si="0"/>
        <v>17279.66</v>
      </c>
      <c r="J10" s="91"/>
      <c r="K10" s="91"/>
      <c r="L10" s="91"/>
      <c r="M10" s="91"/>
    </row>
    <row r="11" spans="2:13" ht="18.75" customHeight="1" x14ac:dyDescent="0.45">
      <c r="B11" s="180"/>
      <c r="C11" s="150"/>
      <c r="D11" s="104" t="s">
        <v>18</v>
      </c>
      <c r="E11" s="105">
        <v>7200</v>
      </c>
      <c r="F11" s="105">
        <v>100.12</v>
      </c>
      <c r="G11" s="95">
        <f>SUMIF(НЭЗТ!$F$6:$F$18,ОНЗТ!D11,НЭЗТ!$AG$6:$AG$18)</f>
        <v>0</v>
      </c>
      <c r="H11" s="106">
        <v>10000</v>
      </c>
      <c r="I11" s="107">
        <f t="shared" si="0"/>
        <v>17300.12</v>
      </c>
      <c r="J11" s="91"/>
      <c r="K11" s="91"/>
      <c r="L11" s="91"/>
      <c r="M11" s="91"/>
    </row>
    <row r="12" spans="2:13" ht="18.75" customHeight="1" x14ac:dyDescent="0.45">
      <c r="B12" s="180"/>
      <c r="C12" s="150"/>
      <c r="D12" s="104" t="s">
        <v>19</v>
      </c>
      <c r="E12" s="105">
        <v>7200</v>
      </c>
      <c r="F12" s="105">
        <v>134.96</v>
      </c>
      <c r="G12" s="95">
        <f>SUMIF(НЭЗТ!$F$6:$F$18,ОНЗТ!D12,НЭЗТ!$AG$6:$AG$18)</f>
        <v>0</v>
      </c>
      <c r="H12" s="106">
        <v>10000</v>
      </c>
      <c r="I12" s="107">
        <f t="shared" si="0"/>
        <v>17334.96</v>
      </c>
      <c r="J12" s="91"/>
      <c r="K12" s="91"/>
      <c r="L12" s="91"/>
      <c r="M12" s="91"/>
    </row>
    <row r="13" spans="2:13" ht="18.75" customHeight="1" x14ac:dyDescent="0.45">
      <c r="B13" s="180"/>
      <c r="C13" s="150"/>
      <c r="D13" s="104" t="s">
        <v>20</v>
      </c>
      <c r="E13" s="105">
        <v>7200</v>
      </c>
      <c r="F13" s="105">
        <v>182.68</v>
      </c>
      <c r="G13" s="95">
        <f>SUMIF(НЭЗТ!$F$6:$F$18,ОНЗТ!D13,НЭЗТ!$AG$6:$AG$18)</f>
        <v>0</v>
      </c>
      <c r="H13" s="106">
        <v>10000</v>
      </c>
      <c r="I13" s="107">
        <f t="shared" si="0"/>
        <v>17382.68</v>
      </c>
      <c r="J13" s="91"/>
      <c r="K13" s="91"/>
      <c r="L13" s="91"/>
      <c r="M13" s="91"/>
    </row>
    <row r="14" spans="2:13" ht="18.75" customHeight="1" x14ac:dyDescent="0.45">
      <c r="B14" s="180"/>
      <c r="C14" s="150"/>
      <c r="D14" s="104" t="s">
        <v>21</v>
      </c>
      <c r="E14" s="105">
        <v>7200</v>
      </c>
      <c r="F14" s="105">
        <v>230.4</v>
      </c>
      <c r="G14" s="95">
        <f>SUMIF(НЭЗТ!$F$6:$F$18,ОНЗТ!D14,НЭЗТ!$AG$6:$AG$18)</f>
        <v>0</v>
      </c>
      <c r="H14" s="106">
        <v>10000</v>
      </c>
      <c r="I14" s="107">
        <f t="shared" si="0"/>
        <v>17430.400000000001</v>
      </c>
      <c r="J14" s="91"/>
      <c r="K14" s="91"/>
      <c r="L14" s="91"/>
      <c r="M14" s="91"/>
    </row>
    <row r="15" spans="2:13" ht="18.75" customHeight="1" x14ac:dyDescent="0.45">
      <c r="B15" s="180"/>
      <c r="C15" s="150"/>
      <c r="D15" s="104" t="s">
        <v>22</v>
      </c>
      <c r="E15" s="105">
        <v>7200</v>
      </c>
      <c r="F15" s="105">
        <v>278.12</v>
      </c>
      <c r="G15" s="95">
        <f>SUMIF(НЭЗТ!$F$6:$F$18,ОНЗТ!D15,НЭЗТ!$AG$6:$AG$18)</f>
        <v>0</v>
      </c>
      <c r="H15" s="106">
        <v>20000</v>
      </c>
      <c r="I15" s="107">
        <f t="shared" si="0"/>
        <v>27478.12</v>
      </c>
      <c r="J15" s="91"/>
      <c r="K15" s="91"/>
      <c r="L15" s="91"/>
      <c r="M15" s="91"/>
    </row>
    <row r="16" spans="2:13" ht="18.75" customHeight="1" x14ac:dyDescent="0.45">
      <c r="B16" s="180"/>
      <c r="C16" s="150"/>
      <c r="D16" s="104" t="s">
        <v>23</v>
      </c>
      <c r="E16" s="105">
        <v>7200</v>
      </c>
      <c r="F16" s="105">
        <v>241.6</v>
      </c>
      <c r="G16" s="95">
        <f>SUMIF(НЭЗТ!$F$6:$F$18,ОНЗТ!D16,НЭЗТ!$AG$6:$AG$18)</f>
        <v>0</v>
      </c>
      <c r="H16" s="106">
        <v>20000</v>
      </c>
      <c r="I16" s="107">
        <f t="shared" si="0"/>
        <v>27441.599999999999</v>
      </c>
      <c r="J16" s="91"/>
      <c r="K16" s="91"/>
      <c r="L16" s="91"/>
      <c r="M16" s="91"/>
    </row>
    <row r="17" spans="2:13" ht="18.75" customHeight="1" x14ac:dyDescent="0.45">
      <c r="B17" s="181"/>
      <c r="C17" s="151"/>
      <c r="D17" s="104" t="s">
        <v>24</v>
      </c>
      <c r="E17" s="105">
        <v>7200</v>
      </c>
      <c r="F17" s="105">
        <v>205.1</v>
      </c>
      <c r="G17" s="95">
        <f>SUMIF(НЭЗТ!$F$6:$F$18,ОНЗТ!D17,НЭЗТ!$AG$6:$AG$18)</f>
        <v>0</v>
      </c>
      <c r="H17" s="106">
        <v>20000</v>
      </c>
      <c r="I17" s="107">
        <f t="shared" si="0"/>
        <v>27405.1</v>
      </c>
      <c r="J17" s="91"/>
      <c r="K17" s="91"/>
      <c r="L17" s="91"/>
      <c r="M17" s="91"/>
    </row>
    <row r="18" spans="2:13" x14ac:dyDescent="0.45">
      <c r="I18" s="92"/>
      <c r="J18" s="92"/>
    </row>
    <row r="20" spans="2:13" x14ac:dyDescent="0.45">
      <c r="F20" s="93"/>
      <c r="G20" s="94"/>
      <c r="H20" s="93"/>
      <c r="I20" s="93"/>
      <c r="K20" s="94"/>
    </row>
    <row r="21" spans="2:13" x14ac:dyDescent="0.45">
      <c r="F21" s="93"/>
      <c r="G21" s="94"/>
      <c r="H21" s="93"/>
      <c r="I21" s="93"/>
      <c r="K21" s="94"/>
    </row>
    <row r="22" spans="2:13" x14ac:dyDescent="0.45">
      <c r="F22" s="93"/>
      <c r="G22" s="94"/>
      <c r="H22" s="93"/>
      <c r="I22" s="93"/>
      <c r="K22" s="94"/>
    </row>
    <row r="23" spans="2:13" x14ac:dyDescent="0.45">
      <c r="F23" s="93"/>
      <c r="G23" s="94"/>
      <c r="H23" s="93"/>
      <c r="I23" s="93"/>
      <c r="K23" s="94"/>
    </row>
    <row r="24" spans="2:13" x14ac:dyDescent="0.45">
      <c r="F24" s="93"/>
      <c r="G24" s="94"/>
      <c r="H24" s="93"/>
      <c r="I24" s="93"/>
      <c r="K24" s="94"/>
    </row>
    <row r="25" spans="2:13" x14ac:dyDescent="0.45">
      <c r="F25" s="93"/>
      <c r="G25" s="94"/>
      <c r="H25" s="93"/>
      <c r="I25" s="93"/>
      <c r="K25" s="94"/>
    </row>
    <row r="26" spans="2:13" x14ac:dyDescent="0.45">
      <c r="F26" s="93"/>
      <c r="G26" s="94"/>
      <c r="H26" s="93"/>
      <c r="I26" s="93"/>
      <c r="K26" s="94"/>
    </row>
    <row r="27" spans="2:13" x14ac:dyDescent="0.45">
      <c r="F27" s="93"/>
      <c r="G27" s="94"/>
      <c r="H27" s="93"/>
      <c r="I27" s="93"/>
      <c r="K27" s="94"/>
    </row>
    <row r="28" spans="2:13" x14ac:dyDescent="0.45">
      <c r="F28" s="93"/>
      <c r="G28" s="94"/>
      <c r="H28" s="93"/>
      <c r="I28" s="93"/>
      <c r="K28" s="94"/>
    </row>
    <row r="29" spans="2:13" x14ac:dyDescent="0.45">
      <c r="F29" s="93"/>
      <c r="G29" s="94"/>
      <c r="H29" s="93"/>
      <c r="I29" s="93"/>
      <c r="K29" s="94"/>
    </row>
    <row r="30" spans="2:13" x14ac:dyDescent="0.45">
      <c r="F30" s="93"/>
      <c r="G30" s="94"/>
      <c r="H30" s="93"/>
      <c r="I30" s="93"/>
      <c r="K30" s="94"/>
    </row>
    <row r="31" spans="2:13" x14ac:dyDescent="0.45">
      <c r="F31" s="93"/>
      <c r="G31" s="94"/>
      <c r="H31" s="93"/>
      <c r="I31" s="93"/>
      <c r="K31" s="94"/>
    </row>
    <row r="32" spans="2:13" x14ac:dyDescent="0.45">
      <c r="F32" s="93"/>
      <c r="G32" s="94"/>
      <c r="H32" s="93"/>
      <c r="I32" s="93"/>
      <c r="K32" s="94"/>
    </row>
  </sheetData>
  <mergeCells count="11">
    <mergeCell ref="B6:B17"/>
    <mergeCell ref="C6:C17"/>
    <mergeCell ref="D4:D5"/>
    <mergeCell ref="E4:E5"/>
    <mergeCell ref="F4:F5"/>
    <mergeCell ref="B2:I2"/>
    <mergeCell ref="G4:G5"/>
    <mergeCell ref="H4:H5"/>
    <mergeCell ref="I4:I5"/>
    <mergeCell ref="B4:B5"/>
    <mergeCell ref="C4:C5"/>
  </mergeCells>
  <pageMargins left="0.7" right="0.7" top="0.75" bottom="0.75" header="0.3" footer="0.3"/>
  <pageSetup paperSize="9" orientation="portrait" r:id="rId1"/>
  <ignoredErrors>
    <ignoredError sqref="G7:G17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Q25"/>
  <sheetViews>
    <sheetView topLeftCell="E1" workbookViewId="0">
      <selection activeCell="E2" sqref="E2"/>
    </sheetView>
  </sheetViews>
  <sheetFormatPr defaultColWidth="9.1328125" defaultRowHeight="11.25" x14ac:dyDescent="0.45"/>
  <cols>
    <col min="1" max="1" width="9.1328125" style="1"/>
    <col min="2" max="2" width="4.53125" style="1" customWidth="1"/>
    <col min="3" max="3" width="13.73046875" style="1" customWidth="1"/>
    <col min="4" max="4" width="9.86328125" style="1" customWidth="1"/>
    <col min="5" max="6" width="26.265625" style="1" customWidth="1"/>
    <col min="7" max="7" width="13.1328125" style="1" customWidth="1"/>
    <col min="8" max="8" width="16.265625" style="1" customWidth="1"/>
    <col min="9" max="9" width="21" style="1" customWidth="1"/>
    <col min="10" max="10" width="14.73046875" style="1" customWidth="1"/>
    <col min="11" max="11" width="22.73046875" style="1" customWidth="1"/>
    <col min="12" max="12" width="14.1328125" style="1" customWidth="1"/>
    <col min="13" max="13" width="10" style="1" customWidth="1"/>
    <col min="14" max="14" width="18.265625" style="1" customWidth="1"/>
    <col min="15" max="15" width="16.53125" style="1" customWidth="1"/>
    <col min="16" max="16384" width="9.1328125" style="1"/>
  </cols>
  <sheetData>
    <row r="2" spans="2:17" ht="15.75" customHeight="1" x14ac:dyDescent="0.45">
      <c r="B2" s="186" t="s">
        <v>74</v>
      </c>
      <c r="C2" s="186"/>
      <c r="D2" s="186"/>
      <c r="E2" s="86"/>
      <c r="F2" s="71"/>
    </row>
    <row r="3" spans="2:17" x14ac:dyDescent="0.45">
      <c r="K3" s="9"/>
    </row>
    <row r="4" spans="2:17" ht="26.25" customHeight="1" x14ac:dyDescent="0.45">
      <c r="E4" s="182" t="s">
        <v>10</v>
      </c>
      <c r="F4" s="183"/>
      <c r="G4" s="183"/>
      <c r="H4" s="184"/>
      <c r="I4" s="185" t="s">
        <v>11</v>
      </c>
      <c r="J4" s="185"/>
      <c r="K4" s="185"/>
      <c r="O4" s="82" t="s">
        <v>100</v>
      </c>
      <c r="P4" s="89"/>
      <c r="Q4" s="89"/>
    </row>
    <row r="5" spans="2:17" ht="26.25" customHeight="1" x14ac:dyDescent="0.45">
      <c r="E5" s="187"/>
      <c r="F5" s="187"/>
      <c r="G5" s="187"/>
      <c r="H5" s="187"/>
      <c r="I5" s="70"/>
      <c r="J5" s="77"/>
      <c r="K5" s="81"/>
    </row>
    <row r="6" spans="2:17" ht="18.75" customHeight="1" x14ac:dyDescent="0.45">
      <c r="E6" s="83"/>
      <c r="F6" s="84"/>
      <c r="G6" s="30"/>
      <c r="H6" s="30"/>
      <c r="I6" s="70"/>
      <c r="J6" s="77"/>
      <c r="K6" s="77"/>
      <c r="L6" s="30"/>
      <c r="M6" s="77" t="s">
        <v>88</v>
      </c>
      <c r="N6" s="77"/>
    </row>
    <row r="7" spans="2:17" ht="72" customHeight="1" x14ac:dyDescent="0.45">
      <c r="B7" s="13" t="s">
        <v>0</v>
      </c>
      <c r="C7" s="29" t="s">
        <v>1</v>
      </c>
      <c r="D7" s="2" t="s">
        <v>9</v>
      </c>
      <c r="E7" s="2" t="s">
        <v>52</v>
      </c>
      <c r="F7" s="2" t="s">
        <v>53</v>
      </c>
      <c r="G7" s="27" t="s">
        <v>54</v>
      </c>
      <c r="H7" s="25" t="s">
        <v>71</v>
      </c>
      <c r="I7" s="10" t="s">
        <v>56</v>
      </c>
      <c r="J7" s="10" t="s">
        <v>57</v>
      </c>
      <c r="K7" s="10" t="s">
        <v>38</v>
      </c>
      <c r="L7" s="11" t="s">
        <v>12</v>
      </c>
      <c r="M7" s="10" t="s">
        <v>77</v>
      </c>
      <c r="N7" s="63" t="s">
        <v>75</v>
      </c>
      <c r="P7" s="64"/>
    </row>
    <row r="8" spans="2:17" ht="11.25" customHeight="1" x14ac:dyDescent="0.45">
      <c r="B8" s="179">
        <v>1</v>
      </c>
      <c r="C8" s="149" t="e">
        <f>#REF!</f>
        <v>#REF!</v>
      </c>
      <c r="D8" s="28" t="s">
        <v>13</v>
      </c>
      <c r="E8" s="31">
        <v>115510</v>
      </c>
      <c r="F8" s="31">
        <v>1169</v>
      </c>
      <c r="G8" s="88">
        <f>31*24</f>
        <v>744</v>
      </c>
      <c r="H8" s="12">
        <f t="shared" ref="H8:H19" si="0">IF(F8*G8=0,0,E8/(F8*G8)*100)</f>
        <v>13.281041603429086</v>
      </c>
      <c r="I8" s="188">
        <v>0</v>
      </c>
      <c r="J8" s="12">
        <f>SUMIF(НЭЗТ!$F$6:$F$19,'Критичность ТЭС'!D8,НЭЗТ!$J$6:$J$19)</f>
        <v>281.7</v>
      </c>
      <c r="K8" s="12">
        <f t="shared" ref="K8:K19" si="1">IF(J8=0,0,I8/J8*100)</f>
        <v>0</v>
      </c>
      <c r="L8" s="12">
        <f>(0.5*((SUMIFS(Справочники!$G$4:$L$4,Справочники!$G$6:$L$6,"&lt;"&amp;'Критичность ТЭС'!H8,Справочники!$G$7:$L$7,"&gt;="&amp;'Критичность ТЭС'!H8))/5)+0.5*((SUMIFS(Справочники!$G$4:$L$4,Справочники!$G$8:$L$8,"&lt;"&amp;'Критичность ТЭС'!K8,Справочники!$G$9:$L$9,"&gt;="&amp;'Критичность ТЭС'!K8))/5))*100</f>
        <v>30</v>
      </c>
      <c r="M8" s="68" t="e">
        <f>SUMIFS(#REF!,#REF!,"&lt;="&amp;'Критичность ТЭС'!L8,#REF!,"&gt;"&amp;'Критичность ТЭС'!L8)</f>
        <v>#REF!</v>
      </c>
      <c r="N8" s="74" t="e">
        <f>INDEX(#REF!,'Критичность ТЭС'!M8)</f>
        <v>#REF!</v>
      </c>
      <c r="P8" s="62"/>
    </row>
    <row r="9" spans="2:17" x14ac:dyDescent="0.45">
      <c r="B9" s="180"/>
      <c r="C9" s="150"/>
      <c r="D9" s="28" t="s">
        <v>14</v>
      </c>
      <c r="E9" s="31">
        <v>98640</v>
      </c>
      <c r="F9" s="31">
        <v>1169</v>
      </c>
      <c r="G9" s="88">
        <f>28*24</f>
        <v>672</v>
      </c>
      <c r="H9" s="12">
        <f t="shared" si="0"/>
        <v>12.556519613833558</v>
      </c>
      <c r="I9" s="189"/>
      <c r="J9" s="12">
        <f>SUMIF(НЭЗТ!$F$6:$F$19,'Критичность ТЭС'!D9,НЭЗТ!$J$6:$J$19)</f>
        <v>281.7</v>
      </c>
      <c r="K9" s="12">
        <f t="shared" si="1"/>
        <v>0</v>
      </c>
      <c r="L9" s="12">
        <f>(0.5*((SUMIFS(Справочники!$G$4:$L$4,Справочники!$G$6:$L$6,"&lt;"&amp;'Критичность ТЭС'!H9,Справочники!$G$7:$L$7,"&gt;="&amp;'Критичность ТЭС'!H9))/5)+0.5*((SUMIFS(Справочники!$G$4:$L$4,Справочники!$G$8:$L$8,"&lt;"&amp;'Критичность ТЭС'!K9,Справочники!$G$9:$L$9,"&gt;="&amp;'Критичность ТЭС'!K9))/5))*100</f>
        <v>30</v>
      </c>
      <c r="M9" s="69" t="e">
        <f>SUMIFS(#REF!,#REF!,"&lt;="&amp;'Критичность ТЭС'!L9,#REF!,"&gt;"&amp;'Критичность ТЭС'!L9)</f>
        <v>#REF!</v>
      </c>
      <c r="N9" s="75" t="e">
        <f>INDEX(#REF!,'Критичность ТЭС'!M9)</f>
        <v>#REF!</v>
      </c>
      <c r="P9" s="9"/>
    </row>
    <row r="10" spans="2:17" x14ac:dyDescent="0.45">
      <c r="B10" s="180"/>
      <c r="C10" s="150"/>
      <c r="D10" s="28" t="s">
        <v>15</v>
      </c>
      <c r="E10" s="31">
        <v>73580</v>
      </c>
      <c r="F10" s="31">
        <v>1169</v>
      </c>
      <c r="G10" s="88">
        <f>31*24</f>
        <v>744</v>
      </c>
      <c r="H10" s="12">
        <f t="shared" si="0"/>
        <v>8.4600384484487243</v>
      </c>
      <c r="I10" s="189"/>
      <c r="J10" s="12">
        <f>SUMIF(НЭЗТ!$F$6:$F$19,'Критичность ТЭС'!D10,НЭЗТ!$J$6:$J$19)</f>
        <v>281.7</v>
      </c>
      <c r="K10" s="12">
        <f t="shared" si="1"/>
        <v>0</v>
      </c>
      <c r="L10" s="12">
        <f>(0.5*((SUMIFS(Справочники!$G$4:$L$4,Справочники!$G$6:$L$6,"&lt;"&amp;'Критичность ТЭС'!H10,Справочники!$G$7:$L$7,"&gt;="&amp;'Критичность ТЭС'!H10))/5)+0.5*((SUMIFS(Справочники!$G$4:$L$4,Справочники!$G$8:$L$8,"&lt;"&amp;'Критичность ТЭС'!K10,Справочники!$G$9:$L$9,"&gt;="&amp;'Критичность ТЭС'!K10))/5))*100</f>
        <v>20</v>
      </c>
      <c r="M10" s="67" t="e">
        <f>SUMIFS(#REF!,#REF!,"&lt;="&amp;'Критичность ТЭС'!L10,#REF!,"&gt;"&amp;'Критичность ТЭС'!L10)</f>
        <v>#REF!</v>
      </c>
      <c r="N10" s="75" t="e">
        <f>INDEX(#REF!,'Критичность ТЭС'!M10)</f>
        <v>#REF!</v>
      </c>
    </row>
    <row r="11" spans="2:17" x14ac:dyDescent="0.45">
      <c r="B11" s="180"/>
      <c r="C11" s="150"/>
      <c r="D11" s="28" t="s">
        <v>16</v>
      </c>
      <c r="E11" s="31">
        <v>45900</v>
      </c>
      <c r="F11" s="31">
        <v>1169</v>
      </c>
      <c r="G11" s="88">
        <f>30*24</f>
        <v>720</v>
      </c>
      <c r="H11" s="12">
        <f t="shared" si="0"/>
        <v>5.4533789563729682</v>
      </c>
      <c r="I11" s="189"/>
      <c r="J11" s="12">
        <f>SUMIF(НЭЗТ!$F$6:$F$19,'Критичность ТЭС'!D11,НЭЗТ!$J$6:$J$19)</f>
        <v>280.3</v>
      </c>
      <c r="K11" s="12">
        <f t="shared" si="1"/>
        <v>0</v>
      </c>
      <c r="L11" s="12">
        <f>(0.5*((SUMIFS(Справочники!$G$4:$L$4,Справочники!$G$6:$L$6,"&lt;"&amp;'Критичность ТЭС'!H11,Справочники!$G$7:$L$7,"&gt;="&amp;'Критичность ТЭС'!H11))/5)+0.5*((SUMIFS(Справочники!$G$4:$L$4,Справочники!$G$8:$L$8,"&lt;"&amp;'Критичность ТЭС'!K11,Справочники!$G$9:$L$9,"&gt;="&amp;'Критичность ТЭС'!K11))/5))*100</f>
        <v>20</v>
      </c>
      <c r="M11" s="68" t="e">
        <f>SUMIFS(#REF!,#REF!,"&lt;="&amp;'Критичность ТЭС'!L11,#REF!,"&gt;"&amp;'Критичность ТЭС'!L11)</f>
        <v>#REF!</v>
      </c>
      <c r="N11" s="75" t="e">
        <f>INDEX(#REF!,'Критичность ТЭС'!M11)</f>
        <v>#REF!</v>
      </c>
    </row>
    <row r="12" spans="2:17" x14ac:dyDescent="0.45">
      <c r="B12" s="180"/>
      <c r="C12" s="150"/>
      <c r="D12" s="28" t="s">
        <v>17</v>
      </c>
      <c r="E12" s="31">
        <v>18330</v>
      </c>
      <c r="F12" s="31">
        <v>1169</v>
      </c>
      <c r="G12" s="88">
        <f>31*24</f>
        <v>744</v>
      </c>
      <c r="H12" s="12">
        <f t="shared" si="0"/>
        <v>2.1075360799139049</v>
      </c>
      <c r="I12" s="189"/>
      <c r="J12" s="12">
        <f>SUMIF(НЭЗТ!$F$6:$F$19,'Критичность ТЭС'!D12,НЭЗТ!$J$6:$J$19)</f>
        <v>260</v>
      </c>
      <c r="K12" s="12">
        <f t="shared" si="1"/>
        <v>0</v>
      </c>
      <c r="L12" s="12">
        <f>(0.5*((SUMIFS(Справочники!$G$4:$L$4,Справочники!$G$6:$L$6,"&lt;"&amp;'Критичность ТЭС'!H12,Справочники!$G$7:$L$7,"&gt;="&amp;'Критичность ТЭС'!H12))/5)+0.5*((SUMIFS(Справочники!$G$4:$L$4,Справочники!$G$8:$L$8,"&lt;"&amp;'Критичность ТЭС'!K12,Справочники!$G$9:$L$9,"&gt;="&amp;'Критичность ТЭС'!K12))/5))*100</f>
        <v>10</v>
      </c>
      <c r="M12" s="67" t="e">
        <f>SUMIFS(#REF!,#REF!,"&lt;="&amp;'Критичность ТЭС'!L12,#REF!,"&gt;"&amp;'Критичность ТЭС'!L12)</f>
        <v>#REF!</v>
      </c>
      <c r="N12" s="75" t="e">
        <f>INDEX(#REF!,'Критичность ТЭС'!M12)</f>
        <v>#REF!</v>
      </c>
    </row>
    <row r="13" spans="2:17" x14ac:dyDescent="0.45">
      <c r="B13" s="180"/>
      <c r="C13" s="150"/>
      <c r="D13" s="28" t="s">
        <v>18</v>
      </c>
      <c r="E13" s="31">
        <v>14230</v>
      </c>
      <c r="F13" s="31">
        <v>1169</v>
      </c>
      <c r="G13" s="88">
        <f>30*24</f>
        <v>720</v>
      </c>
      <c r="H13" s="12">
        <f t="shared" si="0"/>
        <v>1.6906662864746698</v>
      </c>
      <c r="I13" s="189"/>
      <c r="J13" s="12">
        <f>SUMIF(НЭЗТ!$F$6:$F$19,'Критичность ТЭС'!D13,НЭЗТ!$J$6:$J$19)</f>
        <v>260</v>
      </c>
      <c r="K13" s="12">
        <f t="shared" si="1"/>
        <v>0</v>
      </c>
      <c r="L13" s="12">
        <f>(0.5*((SUMIFS(Справочники!$G$4:$L$4,Справочники!$G$6:$L$6,"&lt;"&amp;'Критичность ТЭС'!H13,Справочники!$G$7:$L$7,"&gt;="&amp;'Критичность ТЭС'!H13))/5)+0.5*((SUMIFS(Справочники!$G$4:$L$4,Справочники!$G$8:$L$8,"&lt;"&amp;'Критичность ТЭС'!K13,Справочники!$G$9:$L$9,"&gt;="&amp;'Критичность ТЭС'!K13))/5))*100</f>
        <v>10</v>
      </c>
      <c r="M13" s="61" t="e">
        <f>SUMIFS(#REF!,#REF!,"&lt;="&amp;'Критичность ТЭС'!L13,#REF!,"&gt;"&amp;'Критичность ТЭС'!L13)</f>
        <v>#REF!</v>
      </c>
      <c r="N13" s="75" t="e">
        <f>INDEX(#REF!,'Критичность ТЭС'!M13)</f>
        <v>#REF!</v>
      </c>
    </row>
    <row r="14" spans="2:17" x14ac:dyDescent="0.45">
      <c r="B14" s="180"/>
      <c r="C14" s="150"/>
      <c r="D14" s="28" t="s">
        <v>19</v>
      </c>
      <c r="E14" s="31">
        <v>12420</v>
      </c>
      <c r="F14" s="31">
        <v>1169</v>
      </c>
      <c r="G14" s="88">
        <f>31*24</f>
        <v>744</v>
      </c>
      <c r="H14" s="12">
        <f t="shared" si="0"/>
        <v>1.4280195369629405</v>
      </c>
      <c r="I14" s="189"/>
      <c r="J14" s="12">
        <f>SUMIF(НЭЗТ!$F$6:$F$19,'Критичность ТЭС'!D14,НЭЗТ!$J$6:$J$19)</f>
        <v>260</v>
      </c>
      <c r="K14" s="12">
        <f t="shared" si="1"/>
        <v>0</v>
      </c>
      <c r="L14" s="12">
        <f>(0.5*((SUMIFS(Справочники!$G$4:$L$4,Справочники!$G$6:$L$6,"&lt;"&amp;'Критичность ТЭС'!H14,Справочники!$G$7:$L$7,"&gt;="&amp;'Критичность ТЭС'!H14))/5)+0.5*((SUMIFS(Справочники!$G$4:$L$4,Справочники!$G$8:$L$8,"&lt;"&amp;'Критичность ТЭС'!K14,Справочники!$G$9:$L$9,"&gt;="&amp;'Критичность ТЭС'!K14))/5))*100</f>
        <v>10</v>
      </c>
      <c r="M14" s="61" t="e">
        <f>SUMIFS(#REF!,#REF!,"&lt;="&amp;'Критичность ТЭС'!L14,#REF!,"&gt;"&amp;'Критичность ТЭС'!L14)</f>
        <v>#REF!</v>
      </c>
      <c r="N14" s="75" t="e">
        <f>INDEX(#REF!,'Критичность ТЭС'!M14)</f>
        <v>#REF!</v>
      </c>
    </row>
    <row r="15" spans="2:17" x14ac:dyDescent="0.45">
      <c r="B15" s="180"/>
      <c r="C15" s="150"/>
      <c r="D15" s="28" t="s">
        <v>20</v>
      </c>
      <c r="E15" s="31">
        <v>12160</v>
      </c>
      <c r="F15" s="31">
        <v>1169</v>
      </c>
      <c r="G15" s="88">
        <f>31*24</f>
        <v>744</v>
      </c>
      <c r="H15" s="12">
        <f t="shared" si="0"/>
        <v>1.3981254081698355</v>
      </c>
      <c r="I15" s="189"/>
      <c r="J15" s="12">
        <f>SUMIF(НЭЗТ!$F$6:$F$19,'Критичность ТЭС'!D15,НЭЗТ!$J$6:$J$19)</f>
        <v>260</v>
      </c>
      <c r="K15" s="12">
        <f t="shared" si="1"/>
        <v>0</v>
      </c>
      <c r="L15" s="12">
        <f>(0.5*((SUMIFS(Справочники!$G$4:$L$4,Справочники!$G$6:$L$6,"&lt;"&amp;'Критичность ТЭС'!H15,Справочники!$G$7:$L$7,"&gt;="&amp;'Критичность ТЭС'!H15))/5)+0.5*((SUMIFS(Справочники!$G$4:$L$4,Справочники!$G$8:$L$8,"&lt;"&amp;'Критичность ТЭС'!K15,Справочники!$G$9:$L$9,"&gt;="&amp;'Критичность ТЭС'!K15))/5))*100</f>
        <v>10</v>
      </c>
      <c r="M15" s="61" t="e">
        <f>SUMIFS(#REF!,#REF!,"&lt;="&amp;'Критичность ТЭС'!L15,#REF!,"&gt;"&amp;'Критичность ТЭС'!L15)</f>
        <v>#REF!</v>
      </c>
      <c r="N15" s="75" t="e">
        <f>INDEX(#REF!,'Критичность ТЭС'!M15)</f>
        <v>#REF!</v>
      </c>
    </row>
    <row r="16" spans="2:17" x14ac:dyDescent="0.45">
      <c r="B16" s="180"/>
      <c r="C16" s="150"/>
      <c r="D16" s="28" t="s">
        <v>21</v>
      </c>
      <c r="E16" s="31">
        <v>14820</v>
      </c>
      <c r="F16" s="31">
        <v>1169</v>
      </c>
      <c r="G16" s="88">
        <f>30*24</f>
        <v>720</v>
      </c>
      <c r="H16" s="12">
        <f t="shared" si="0"/>
        <v>1.7607641859138865</v>
      </c>
      <c r="I16" s="189"/>
      <c r="J16" s="12">
        <f>SUMIF(НЭЗТ!$F$6:$F$19,'Критичность ТЭС'!D16,НЭЗТ!$J$6:$J$19)</f>
        <v>260</v>
      </c>
      <c r="K16" s="12">
        <f t="shared" si="1"/>
        <v>0</v>
      </c>
      <c r="L16" s="12">
        <f>(0.5*((SUMIFS(Справочники!$G$4:$L$4,Справочники!$G$6:$L$6,"&lt;"&amp;'Критичность ТЭС'!H16,Справочники!$G$7:$L$7,"&gt;="&amp;'Критичность ТЭС'!H16))/5)+0.5*((SUMIFS(Справочники!$G$4:$L$4,Справочники!$G$8:$L$8,"&lt;"&amp;'Критичность ТЭС'!K16,Справочники!$G$9:$L$9,"&gt;="&amp;'Критичность ТЭС'!K16))/5))*100</f>
        <v>10</v>
      </c>
      <c r="M16" s="61" t="e">
        <f>SUMIFS(#REF!,#REF!,"&lt;="&amp;'Критичность ТЭС'!L16,#REF!,"&gt;"&amp;'Критичность ТЭС'!L16)</f>
        <v>#REF!</v>
      </c>
      <c r="N16" s="75" t="e">
        <f>INDEX(#REF!,'Критичность ТЭС'!M16)</f>
        <v>#REF!</v>
      </c>
    </row>
    <row r="17" spans="2:14" x14ac:dyDescent="0.45">
      <c r="B17" s="180"/>
      <c r="C17" s="150"/>
      <c r="D17" s="28" t="s">
        <v>22</v>
      </c>
      <c r="E17" s="31">
        <v>46140</v>
      </c>
      <c r="F17" s="31">
        <v>1169</v>
      </c>
      <c r="G17" s="88">
        <f>31*24</f>
        <v>744</v>
      </c>
      <c r="H17" s="12">
        <f t="shared" si="0"/>
        <v>5.3050580865917931</v>
      </c>
      <c r="I17" s="189"/>
      <c r="J17" s="12">
        <f>SUMIF(НЭЗТ!$F$6:$F$19,'Критичность ТЭС'!D17,НЭЗТ!$J$6:$J$19)</f>
        <v>275.7</v>
      </c>
      <c r="K17" s="12">
        <f t="shared" si="1"/>
        <v>0</v>
      </c>
      <c r="L17" s="12">
        <f>(0.5*((SUMIFS(Справочники!$G$4:$L$4,Справочники!$G$6:$L$6,"&lt;"&amp;'Критичность ТЭС'!H17,Справочники!$G$7:$L$7,"&gt;="&amp;'Критичность ТЭС'!H17))/5)+0.5*((SUMIFS(Справочники!$G$4:$L$4,Справочники!$G$8:$L$8,"&lt;"&amp;'Критичность ТЭС'!K17,Справочники!$G$9:$L$9,"&gt;="&amp;'Критичность ТЭС'!K17))/5))*100</f>
        <v>20</v>
      </c>
      <c r="M17" s="61" t="e">
        <f>SUMIFS(#REF!,#REF!,"&lt;="&amp;'Критичность ТЭС'!L17,#REF!,"&gt;"&amp;'Критичность ТЭС'!L17)</f>
        <v>#REF!</v>
      </c>
      <c r="N17" s="74" t="e">
        <f>INDEX(#REF!,'Критичность ТЭС'!M17)</f>
        <v>#REF!</v>
      </c>
    </row>
    <row r="18" spans="2:14" x14ac:dyDescent="0.45">
      <c r="B18" s="180"/>
      <c r="C18" s="150"/>
      <c r="D18" s="28" t="s">
        <v>23</v>
      </c>
      <c r="E18" s="31">
        <v>83060</v>
      </c>
      <c r="F18" s="31">
        <v>1169</v>
      </c>
      <c r="G18" s="88">
        <f>30*24</f>
        <v>720</v>
      </c>
      <c r="H18" s="12">
        <f t="shared" si="0"/>
        <v>9.8683585210531319</v>
      </c>
      <c r="I18" s="189"/>
      <c r="J18" s="12">
        <f>SUMIF(НЭЗТ!$F$6:$F$19,'Критичность ТЭС'!D18,НЭЗТ!$J$6:$J$19)</f>
        <v>281.7</v>
      </c>
      <c r="K18" s="12">
        <f t="shared" si="1"/>
        <v>0</v>
      </c>
      <c r="L18" s="12">
        <f>(0.5*((SUMIFS(Справочники!$G$4:$L$4,Справочники!$G$6:$L$6,"&lt;"&amp;'Критичность ТЭС'!H18,Справочники!$G$7:$L$7,"&gt;="&amp;'Критичность ТЭС'!H18))/5)+0.5*((SUMIFS(Справочники!$G$4:$L$4,Справочники!$G$8:$L$8,"&lt;"&amp;'Критичность ТЭС'!K18,Справочники!$G$9:$L$9,"&gt;="&amp;'Критичность ТЭС'!K18))/5))*100</f>
        <v>20</v>
      </c>
      <c r="M18" s="65" t="e">
        <f>SUMIFS(#REF!,#REF!,"&lt;="&amp;'Критичность ТЭС'!L18,#REF!,"&gt;"&amp;'Критичность ТЭС'!L18)</f>
        <v>#REF!</v>
      </c>
      <c r="N18" s="74" t="e">
        <f>INDEX(#REF!,'Критичность ТЭС'!M18)</f>
        <v>#REF!</v>
      </c>
    </row>
    <row r="19" spans="2:14" x14ac:dyDescent="0.45">
      <c r="B19" s="181"/>
      <c r="C19" s="151"/>
      <c r="D19" s="28" t="s">
        <v>24</v>
      </c>
      <c r="E19" s="31">
        <v>114730</v>
      </c>
      <c r="F19" s="31">
        <v>1169</v>
      </c>
      <c r="G19" s="88">
        <f>31*24</f>
        <v>744</v>
      </c>
      <c r="H19" s="12">
        <f t="shared" si="0"/>
        <v>13.191359217049772</v>
      </c>
      <c r="I19" s="190"/>
      <c r="J19" s="12">
        <f>SUMIF(НЭЗТ!$F$6:$F$19,'Критичность ТЭС'!D19,НЭЗТ!$J$6:$J$19)</f>
        <v>281.7</v>
      </c>
      <c r="K19" s="12">
        <f t="shared" si="1"/>
        <v>0</v>
      </c>
      <c r="L19" s="12">
        <f>(0.5*((SUMIFS(Справочники!$G$4:$L$4,Справочники!$G$6:$L$6,"&lt;"&amp;'Критичность ТЭС'!H19,Справочники!$G$7:$L$7,"&gt;="&amp;'Критичность ТЭС'!H19))/5)+0.5*((SUMIFS(Справочники!$G$4:$L$4,Справочники!$G$8:$L$8,"&lt;"&amp;'Критичность ТЭС'!K19,Справочники!$G$9:$L$9,"&gt;="&amp;'Критичность ТЭС'!K19))/5))*100</f>
        <v>30</v>
      </c>
      <c r="M19" s="66" t="e">
        <f>SUMIFS(#REF!,#REF!,"&lt;="&amp;'Критичность ТЭС'!L19,#REF!,"&gt;"&amp;'Критичность ТЭС'!L19)</f>
        <v>#REF!</v>
      </c>
      <c r="N19" s="74" t="e">
        <f>INDEX(#REF!,'Критичность ТЭС'!M19)</f>
        <v>#REF!</v>
      </c>
    </row>
    <row r="25" spans="2:14" x14ac:dyDescent="0.45">
      <c r="L25" s="34"/>
      <c r="M25" s="34"/>
      <c r="N25" s="34"/>
    </row>
  </sheetData>
  <mergeCells count="7">
    <mergeCell ref="E4:H4"/>
    <mergeCell ref="I4:K4"/>
    <mergeCell ref="B2:D2"/>
    <mergeCell ref="E5:H5"/>
    <mergeCell ref="C8:C19"/>
    <mergeCell ref="B8:B19"/>
    <mergeCell ref="I8:I19"/>
  </mergeCells>
  <pageMargins left="0.7" right="0.7" top="0.75" bottom="0.75" header="0.3" footer="0.3"/>
  <pageSetup paperSize="9" orientation="portrait" r:id="rId1"/>
  <ignoredErrors>
    <ignoredError sqref="G9:G18" formula="1"/>
    <ignoredError sqref="J8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M33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G6" sqref="G6:L7"/>
    </sheetView>
  </sheetViews>
  <sheetFormatPr defaultColWidth="10" defaultRowHeight="14.25" x14ac:dyDescent="0.45"/>
  <cols>
    <col min="2" max="2" width="25.265625" customWidth="1"/>
    <col min="4" max="4" width="25.86328125" customWidth="1"/>
    <col min="5" max="5" width="7.265625" customWidth="1"/>
    <col min="6" max="6" width="11.53125" customWidth="1"/>
    <col min="7" max="7" width="16.1328125" customWidth="1"/>
    <col min="8" max="8" width="14.3984375" customWidth="1"/>
    <col min="9" max="9" width="17" customWidth="1"/>
    <col min="10" max="10" width="15.3984375" customWidth="1"/>
    <col min="11" max="11" width="12.3984375" customWidth="1"/>
    <col min="12" max="12" width="14.73046875" customWidth="1"/>
  </cols>
  <sheetData>
    <row r="2" spans="2:13" ht="14.65" thickBot="1" x14ac:dyDescent="0.5">
      <c r="B2" s="21" t="s">
        <v>72</v>
      </c>
    </row>
    <row r="3" spans="2:13" ht="15" customHeight="1" x14ac:dyDescent="0.45">
      <c r="B3" s="204" t="s">
        <v>32</v>
      </c>
      <c r="C3" s="206" t="s">
        <v>34</v>
      </c>
      <c r="D3" s="210" t="s">
        <v>35</v>
      </c>
      <c r="E3" s="208"/>
      <c r="F3" s="208" t="s">
        <v>36</v>
      </c>
      <c r="G3" s="201" t="s">
        <v>37</v>
      </c>
      <c r="H3" s="202"/>
      <c r="I3" s="202"/>
      <c r="J3" s="202"/>
      <c r="K3" s="202"/>
      <c r="L3" s="203"/>
    </row>
    <row r="4" spans="2:13" ht="25.5" customHeight="1" thickBot="1" x14ac:dyDescent="0.5">
      <c r="B4" s="205"/>
      <c r="C4" s="207"/>
      <c r="D4" s="211"/>
      <c r="E4" s="209"/>
      <c r="F4" s="209"/>
      <c r="G4" s="32">
        <v>0</v>
      </c>
      <c r="H4" s="32">
        <v>1</v>
      </c>
      <c r="I4" s="32">
        <v>2</v>
      </c>
      <c r="J4" s="32">
        <v>3</v>
      </c>
      <c r="K4" s="32">
        <v>4</v>
      </c>
      <c r="L4" s="33">
        <v>5</v>
      </c>
    </row>
    <row r="5" spans="2:13" ht="4.5" customHeight="1" thickBot="1" x14ac:dyDescent="0.5">
      <c r="D5" s="14"/>
    </row>
    <row r="6" spans="2:13" ht="21.75" customHeight="1" x14ac:dyDescent="0.45">
      <c r="B6" s="199" t="s">
        <v>33</v>
      </c>
      <c r="C6" s="191">
        <v>0.5</v>
      </c>
      <c r="D6" s="195" t="s">
        <v>55</v>
      </c>
      <c r="E6" s="196"/>
      <c r="F6" s="191">
        <v>1</v>
      </c>
      <c r="G6" s="35">
        <v>0</v>
      </c>
      <c r="H6" s="36">
        <v>1.0000000000000001E-15</v>
      </c>
      <c r="I6" s="36">
        <v>5</v>
      </c>
      <c r="J6" s="36">
        <v>10</v>
      </c>
      <c r="K6" s="36">
        <v>25</v>
      </c>
      <c r="L6" s="37">
        <v>40</v>
      </c>
    </row>
    <row r="7" spans="2:13" ht="21.75" customHeight="1" thickBot="1" x14ac:dyDescent="0.5">
      <c r="B7" s="200"/>
      <c r="C7" s="192"/>
      <c r="D7" s="197"/>
      <c r="E7" s="198"/>
      <c r="F7" s="192"/>
      <c r="G7" s="38">
        <v>0</v>
      </c>
      <c r="H7" s="41">
        <v>5</v>
      </c>
      <c r="I7" s="39">
        <v>10</v>
      </c>
      <c r="J7" s="39">
        <v>25</v>
      </c>
      <c r="K7" s="39">
        <v>40</v>
      </c>
      <c r="L7" s="40">
        <v>2000000000</v>
      </c>
    </row>
    <row r="8" spans="2:13" ht="29.25" customHeight="1" x14ac:dyDescent="0.45">
      <c r="B8" s="199" t="s">
        <v>11</v>
      </c>
      <c r="C8" s="193">
        <v>0.5</v>
      </c>
      <c r="D8" s="195" t="s">
        <v>38</v>
      </c>
      <c r="E8" s="196"/>
      <c r="F8" s="191">
        <v>1</v>
      </c>
      <c r="G8" s="35">
        <v>0</v>
      </c>
      <c r="H8" s="42">
        <v>10</v>
      </c>
      <c r="I8" s="36">
        <v>20</v>
      </c>
      <c r="J8" s="36">
        <v>30</v>
      </c>
      <c r="K8" s="36">
        <v>35</v>
      </c>
      <c r="L8" s="37">
        <v>40</v>
      </c>
    </row>
    <row r="9" spans="2:13" ht="29.25" customHeight="1" thickBot="1" x14ac:dyDescent="0.5">
      <c r="B9" s="200"/>
      <c r="C9" s="194"/>
      <c r="D9" s="197"/>
      <c r="E9" s="198"/>
      <c r="F9" s="192"/>
      <c r="G9" s="38">
        <v>10</v>
      </c>
      <c r="H9" s="41">
        <v>20</v>
      </c>
      <c r="I9" s="39">
        <v>30</v>
      </c>
      <c r="J9" s="39">
        <v>35</v>
      </c>
      <c r="K9" s="39">
        <v>40</v>
      </c>
      <c r="L9" s="40">
        <v>2000000000</v>
      </c>
    </row>
    <row r="12" spans="2:13" x14ac:dyDescent="0.45">
      <c r="B12" s="21" t="s">
        <v>46</v>
      </c>
    </row>
    <row r="13" spans="2:13" ht="14.65" thickBot="1" x14ac:dyDescent="0.5"/>
    <row r="14" spans="2:13" ht="48" customHeight="1" x14ac:dyDescent="0.45">
      <c r="B14" s="214" t="s">
        <v>39</v>
      </c>
      <c r="C14" s="193">
        <v>0.5</v>
      </c>
      <c r="D14" s="212" t="s">
        <v>25</v>
      </c>
      <c r="E14" s="212"/>
      <c r="F14" s="54">
        <v>0.7</v>
      </c>
      <c r="G14" s="19" t="s">
        <v>27</v>
      </c>
      <c r="H14" s="18"/>
      <c r="I14" s="19"/>
      <c r="J14" s="19" t="s">
        <v>41</v>
      </c>
      <c r="K14" s="19"/>
      <c r="L14" s="20" t="s">
        <v>42</v>
      </c>
    </row>
    <row r="15" spans="2:13" ht="48" customHeight="1" x14ac:dyDescent="0.45">
      <c r="B15" s="215"/>
      <c r="C15" s="213"/>
      <c r="D15" s="217" t="s">
        <v>40</v>
      </c>
      <c r="E15" s="217"/>
      <c r="F15" s="213">
        <v>0.3</v>
      </c>
      <c r="G15" s="55"/>
      <c r="H15" s="43">
        <v>1E-10</v>
      </c>
      <c r="I15" s="43">
        <v>1</v>
      </c>
      <c r="J15" s="43">
        <v>3</v>
      </c>
      <c r="K15" s="43">
        <v>5</v>
      </c>
      <c r="L15" s="44">
        <v>10</v>
      </c>
    </row>
    <row r="16" spans="2:13" ht="45" customHeight="1" thickBot="1" x14ac:dyDescent="0.5">
      <c r="B16" s="216"/>
      <c r="C16" s="194"/>
      <c r="D16" s="218"/>
      <c r="E16" s="218"/>
      <c r="F16" s="194"/>
      <c r="G16" s="39">
        <v>0</v>
      </c>
      <c r="H16" s="41">
        <v>1</v>
      </c>
      <c r="I16" s="41">
        <v>3</v>
      </c>
      <c r="J16" s="41">
        <v>5</v>
      </c>
      <c r="K16" s="41">
        <v>10</v>
      </c>
      <c r="L16" s="45">
        <v>2000000000</v>
      </c>
      <c r="M16" t="s">
        <v>73</v>
      </c>
    </row>
    <row r="18" spans="2:12" x14ac:dyDescent="0.45">
      <c r="B18" s="21" t="s">
        <v>47</v>
      </c>
    </row>
    <row r="19" spans="2:12" ht="14.65" thickBot="1" x14ac:dyDescent="0.5"/>
    <row r="20" spans="2:12" ht="30" customHeight="1" x14ac:dyDescent="0.45">
      <c r="B20" s="214" t="s">
        <v>39</v>
      </c>
      <c r="C20" s="193">
        <v>0.5</v>
      </c>
      <c r="D20" s="225" t="s">
        <v>26</v>
      </c>
      <c r="E20" s="225"/>
      <c r="F20" s="56">
        <v>0.3</v>
      </c>
      <c r="G20" s="57">
        <v>3</v>
      </c>
      <c r="H20" s="58"/>
      <c r="I20" s="58">
        <v>2</v>
      </c>
      <c r="J20" s="58"/>
      <c r="K20" s="58"/>
      <c r="L20" s="59">
        <v>1</v>
      </c>
    </row>
    <row r="21" spans="2:12" ht="24.75" customHeight="1" x14ac:dyDescent="0.45">
      <c r="B21" s="215"/>
      <c r="C21" s="213"/>
      <c r="D21" s="217" t="s">
        <v>48</v>
      </c>
      <c r="E21" s="217"/>
      <c r="F21" s="224">
        <v>0.7</v>
      </c>
      <c r="G21" s="46">
        <v>0</v>
      </c>
      <c r="H21" s="47">
        <v>1</v>
      </c>
      <c r="I21" s="47">
        <v>1.5</v>
      </c>
      <c r="J21" s="47">
        <v>2</v>
      </c>
      <c r="K21" s="47">
        <v>2.5</v>
      </c>
      <c r="L21" s="48">
        <v>3</v>
      </c>
    </row>
    <row r="22" spans="2:12" ht="31.5" customHeight="1" thickBot="1" x14ac:dyDescent="0.5">
      <c r="B22" s="216"/>
      <c r="C22" s="194"/>
      <c r="D22" s="218"/>
      <c r="E22" s="218"/>
      <c r="F22" s="223"/>
      <c r="G22" s="49">
        <v>1</v>
      </c>
      <c r="H22" s="41">
        <v>1.5</v>
      </c>
      <c r="I22" s="41">
        <v>2</v>
      </c>
      <c r="J22" s="41">
        <v>2.5</v>
      </c>
      <c r="K22" s="41">
        <v>3</v>
      </c>
      <c r="L22" s="45">
        <v>2000000000</v>
      </c>
    </row>
    <row r="24" spans="2:12" x14ac:dyDescent="0.45">
      <c r="B24" s="21" t="s">
        <v>49</v>
      </c>
    </row>
    <row r="25" spans="2:12" ht="14.65" thickBot="1" x14ac:dyDescent="0.5"/>
    <row r="26" spans="2:12" ht="14.65" thickBot="1" x14ac:dyDescent="0.5">
      <c r="B26" s="15" t="s">
        <v>58</v>
      </c>
      <c r="C26" s="16"/>
      <c r="D26" s="22"/>
      <c r="E26" s="23"/>
      <c r="F26" s="17"/>
      <c r="G26" s="24"/>
      <c r="H26" s="24"/>
      <c r="I26" s="24"/>
      <c r="J26" s="24"/>
      <c r="K26" s="24"/>
      <c r="L26" s="24"/>
    </row>
    <row r="28" spans="2:12" x14ac:dyDescent="0.45">
      <c r="B28" s="21" t="s">
        <v>50</v>
      </c>
    </row>
    <row r="29" spans="2:12" ht="14.65" thickBot="1" x14ac:dyDescent="0.5"/>
    <row r="30" spans="2:12" ht="33.75" customHeight="1" x14ac:dyDescent="0.45">
      <c r="B30" s="214" t="s">
        <v>43</v>
      </c>
      <c r="C30" s="193">
        <v>0.5</v>
      </c>
      <c r="D30" s="212" t="s">
        <v>44</v>
      </c>
      <c r="E30" s="212"/>
      <c r="F30" s="219">
        <v>0.5</v>
      </c>
      <c r="G30" s="50">
        <v>0</v>
      </c>
      <c r="H30" s="42">
        <v>1</v>
      </c>
      <c r="I30" s="42">
        <v>2</v>
      </c>
      <c r="J30" s="42">
        <v>4</v>
      </c>
      <c r="K30" s="42">
        <v>7</v>
      </c>
      <c r="L30" s="51">
        <v>10</v>
      </c>
    </row>
    <row r="31" spans="2:12" ht="22.5" customHeight="1" x14ac:dyDescent="0.45">
      <c r="B31" s="215"/>
      <c r="C31" s="213"/>
      <c r="D31" s="217"/>
      <c r="E31" s="217"/>
      <c r="F31" s="220"/>
      <c r="G31" s="43">
        <v>0</v>
      </c>
      <c r="H31" s="43">
        <v>2</v>
      </c>
      <c r="I31" s="43">
        <v>4</v>
      </c>
      <c r="J31" s="43">
        <v>7</v>
      </c>
      <c r="K31" s="43">
        <v>10</v>
      </c>
      <c r="L31" s="44">
        <v>2000000000</v>
      </c>
    </row>
    <row r="32" spans="2:12" ht="29.25" customHeight="1" x14ac:dyDescent="0.45">
      <c r="B32" s="215"/>
      <c r="C32" s="213"/>
      <c r="D32" s="221" t="s">
        <v>45</v>
      </c>
      <c r="E32" s="221"/>
      <c r="F32" s="222">
        <v>0.5</v>
      </c>
      <c r="G32" s="52">
        <v>0</v>
      </c>
      <c r="H32" s="47">
        <v>0.1</v>
      </c>
      <c r="I32" s="47">
        <v>0.2</v>
      </c>
      <c r="J32" s="47">
        <v>0.4</v>
      </c>
      <c r="K32" s="47">
        <v>0.6</v>
      </c>
      <c r="L32" s="48">
        <v>0.8</v>
      </c>
    </row>
    <row r="33" spans="2:12" ht="33.75" customHeight="1" thickBot="1" x14ac:dyDescent="0.5">
      <c r="B33" s="216"/>
      <c r="C33" s="194"/>
      <c r="D33" s="211"/>
      <c r="E33" s="211"/>
      <c r="F33" s="223"/>
      <c r="G33" s="53">
        <v>0.1</v>
      </c>
      <c r="H33" s="41">
        <v>0.2</v>
      </c>
      <c r="I33" s="41">
        <v>0.4</v>
      </c>
      <c r="J33" s="41">
        <v>0.6</v>
      </c>
      <c r="K33" s="41">
        <v>0.8</v>
      </c>
      <c r="L33" s="45">
        <v>2000000000</v>
      </c>
    </row>
  </sheetData>
  <mergeCells count="29">
    <mergeCell ref="F30:F31"/>
    <mergeCell ref="D32:E33"/>
    <mergeCell ref="F32:F33"/>
    <mergeCell ref="F15:F16"/>
    <mergeCell ref="F21:F22"/>
    <mergeCell ref="D21:E22"/>
    <mergeCell ref="D20:E20"/>
    <mergeCell ref="D14:E14"/>
    <mergeCell ref="C14:C16"/>
    <mergeCell ref="B14:B16"/>
    <mergeCell ref="B30:B33"/>
    <mergeCell ref="C30:C33"/>
    <mergeCell ref="B20:B22"/>
    <mergeCell ref="C20:C22"/>
    <mergeCell ref="D15:E16"/>
    <mergeCell ref="D30:E31"/>
    <mergeCell ref="G3:L3"/>
    <mergeCell ref="B3:B4"/>
    <mergeCell ref="C3:C4"/>
    <mergeCell ref="F3:F4"/>
    <mergeCell ref="D3:E4"/>
    <mergeCell ref="F8:F9"/>
    <mergeCell ref="C8:C9"/>
    <mergeCell ref="D8:E9"/>
    <mergeCell ref="B8:B9"/>
    <mergeCell ref="B6:B7"/>
    <mergeCell ref="C6:C7"/>
    <mergeCell ref="D6:E7"/>
    <mergeCell ref="F6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ННЗТ</vt:lpstr>
      <vt:lpstr>НЭЗТ</vt:lpstr>
      <vt:lpstr>НВЗТ</vt:lpstr>
      <vt:lpstr>НАЗТ</vt:lpstr>
      <vt:lpstr>ОНЗТ</vt:lpstr>
      <vt:lpstr>Критичность ТЭС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2025-11-26T18:16:05Z</dcterms:modified>
</cp:coreProperties>
</file>